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Yayla seres\ÇALIŞTAY\10.kitap 10\"/>
    </mc:Choice>
  </mc:AlternateContent>
  <xr:revisionPtr revIDLastSave="0" documentId="13_ncr:1_{50BE8BC3-B474-40B3-815F-A9AA68E8F37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odel" sheetId="1" r:id="rId1"/>
    <sheet name="Vaka_Girişi" sheetId="2" r:id="rId2"/>
    <sheet name="Hesap" sheetId="3" r:id="rId3"/>
    <sheet name="sınıflandırma" sheetId="4" r:id="rId4"/>
    <sheet name="Rapor_cıktı" sheetId="5" r:id="rId5"/>
    <sheet name="Kurumsal_Model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R5" i="1"/>
  <c r="E5" i="1"/>
  <c r="R4" i="1"/>
  <c r="R3" i="1"/>
  <c r="X2" i="1"/>
  <c r="X3" i="1" s="1"/>
  <c r="F2" i="1"/>
  <c r="X1" i="1"/>
  <c r="R1" i="1"/>
  <c r="R5" i="2"/>
  <c r="E5" i="2"/>
  <c r="R4" i="2"/>
  <c r="R3" i="2"/>
  <c r="X2" i="2"/>
  <c r="X3" i="2" s="1"/>
  <c r="F2" i="2"/>
  <c r="X1" i="2"/>
  <c r="R1" i="2"/>
  <c r="R5" i="3"/>
  <c r="E5" i="3"/>
  <c r="R4" i="3"/>
  <c r="R3" i="3"/>
  <c r="X2" i="3"/>
  <c r="X3" i="3" s="1"/>
  <c r="F2" i="3"/>
  <c r="X1" i="3"/>
  <c r="R1" i="3"/>
  <c r="R5" i="4"/>
  <c r="E5" i="4"/>
  <c r="R4" i="4"/>
  <c r="R3" i="4"/>
  <c r="X2" i="4"/>
  <c r="X3" i="4" s="1"/>
  <c r="F2" i="4"/>
  <c r="X1" i="4"/>
  <c r="R1" i="4"/>
  <c r="R5" i="5"/>
  <c r="E5" i="5"/>
  <c r="R4" i="5"/>
  <c r="R3" i="5"/>
  <c r="X2" i="5"/>
  <c r="X3" i="5" s="1"/>
  <c r="F2" i="5"/>
  <c r="X1" i="5"/>
  <c r="R1" i="5"/>
  <c r="R5" i="6"/>
  <c r="E5" i="6"/>
  <c r="R4" i="6"/>
  <c r="R3" i="6"/>
  <c r="X2" i="6"/>
  <c r="X3" i="6" s="1"/>
  <c r="F2" i="6"/>
  <c r="X1" i="6"/>
  <c r="R1" i="6"/>
  <c r="L18" i="5"/>
  <c r="L12" i="5"/>
  <c r="L11" i="5"/>
  <c r="L10" i="5"/>
  <c r="L9" i="5"/>
  <c r="W13" i="4"/>
  <c r="W12" i="4"/>
  <c r="I15" i="3"/>
  <c r="I14" i="3"/>
  <c r="I13" i="3"/>
  <c r="I12" i="3"/>
  <c r="I11" i="3"/>
  <c r="I10" i="3"/>
  <c r="F1" i="4" l="1"/>
  <c r="F1" i="6"/>
  <c r="F1" i="3"/>
  <c r="F1" i="2"/>
  <c r="F1" i="5"/>
  <c r="W14" i="4"/>
  <c r="I35" i="3"/>
  <c r="I37" i="3" s="1"/>
  <c r="I34" i="3"/>
  <c r="I33" i="3"/>
  <c r="I20" i="3"/>
  <c r="I19" i="3"/>
  <c r="I21" i="3" l="1"/>
  <c r="I23" i="3" l="1"/>
  <c r="I22" i="3"/>
  <c r="I24" i="3" s="1"/>
  <c r="I26" i="3" s="1"/>
  <c r="I28" i="3" s="1"/>
  <c r="W20" i="3" s="1"/>
  <c r="L14" i="5" s="1"/>
  <c r="I25" i="3" l="1"/>
  <c r="I29" i="3" l="1"/>
  <c r="I27" i="3"/>
  <c r="I31" i="3" l="1"/>
  <c r="W19" i="3"/>
  <c r="L13" i="5" s="1"/>
  <c r="I32" i="3"/>
  <c r="I30" i="3"/>
  <c r="I36" i="3" l="1"/>
  <c r="W21" i="3" s="1"/>
  <c r="W8" i="4" l="1"/>
  <c r="L15" i="5"/>
  <c r="W10" i="4" l="1"/>
  <c r="W15" i="4" s="1"/>
  <c r="W9" i="4"/>
  <c r="L16" i="5" s="1"/>
  <c r="B21" i="5"/>
  <c r="W16" i="4" l="1"/>
  <c r="L17" i="5"/>
</calcChain>
</file>

<file path=xl/sharedStrings.xml><?xml version="1.0" encoding="utf-8"?>
<sst xmlns="http://schemas.openxmlformats.org/spreadsheetml/2006/main" count="235" uniqueCount="137">
  <si>
    <t>GÜNEŞ ETKENLİĞİ (SOLAR GLARE) – BİLİRKİŞİLİK MODELİ</t>
  </si>
  <si>
    <t>Bu dosya; kaza anındaki güneş konumunu (azimut/elevasyon) hesaplayıp sürücünün görüş doğrultusuyla 3B açı farkını (θ) üretir, etki sınıfını ve 'glare katsayısı (K)' üzerinden görüş/reaksiyon mesafesi kaybını standartlaştırır.</t>
  </si>
  <si>
    <t>KULLANIM</t>
  </si>
  <si>
    <t>1) 'Vaka_Girişi' sayfasında mavi hücrelere tarih-saat, konum (enlem/boylam), yol doğrultusu (heading) ve hız gibi verileri girin.</t>
  </si>
  <si>
    <t>2) 'Hesap' sayfası güneş azimut/elevasyon ve 3B açı farkını (θ) otomatik hesaplar.</t>
  </si>
  <si>
    <t>3) 'Sınıflandırma' sayfası θ'ya göre etki sınıfını ve K katsayısını verir.</t>
  </si>
  <si>
    <t>4) 'Rapor_Çıktı' sayfası bilirkişi raporuna yapıştırılabilir özet metin üretir.</t>
  </si>
  <si>
    <t>NOTLAR / KAYNAK</t>
  </si>
  <si>
    <t>Güneş konumu formülleri NOAA'nın yaygın kullanılan yaklaşık algoritmasına dayanır. Kontrol/karşılaştırma için NOAA Solar Calculator (https://gml.noaa.gov/grad/solcalc/) veya PVGIS kullanılabilir.</t>
  </si>
  <si>
    <t>VAKA GİRİŞİ (MAVİ HÜCRELER)</t>
  </si>
  <si>
    <t>Alan</t>
  </si>
  <si>
    <t>Değer</t>
  </si>
  <si>
    <t>Not</t>
  </si>
  <si>
    <t>Vaka ID</t>
  </si>
  <si>
    <t>V-001</t>
  </si>
  <si>
    <t>Tarih-Saat (Yerel)</t>
  </si>
  <si>
    <t>2026-02-16 12:00</t>
  </si>
  <si>
    <t>Saat Dilimi (UTC ofset)</t>
  </si>
  <si>
    <t>+3</t>
  </si>
  <si>
    <t>Enlem (°)</t>
  </si>
  <si>
    <t>41.0082</t>
  </si>
  <si>
    <t>Pitch: sürücünün bakışının yukarı-aşağı açısı. Düz yol için 0 kabul edilebilir.</t>
  </si>
  <si>
    <t>Boylam (°)</t>
  </si>
  <si>
    <t>28.9784</t>
  </si>
  <si>
    <t>Yol doğrultusu / Sürücü heading (°)</t>
  </si>
  <si>
    <t>90</t>
  </si>
  <si>
    <t>Sürücü görüş eğimi (pitch, °; genelde 0)</t>
  </si>
  <si>
    <t>0</t>
  </si>
  <si>
    <t>Hız (km/s)</t>
  </si>
  <si>
    <t>50</t>
  </si>
  <si>
    <t>Algılanan reaksiyon süresi t (s)</t>
  </si>
  <si>
    <t>1.5</t>
  </si>
  <si>
    <t>HESAP – GÜNEŞ AZİMUT/ELEVASYON + 3B AÇI (θ)</t>
  </si>
  <si>
    <t>Girdi</t>
  </si>
  <si>
    <t>Açıklama</t>
  </si>
  <si>
    <t>UTC ofset (saat)</t>
  </si>
  <si>
    <t>Enlem (deg)</t>
  </si>
  <si>
    <t>Boylam (deg)</t>
  </si>
  <si>
    <t>Doğu +</t>
  </si>
  <si>
    <t>Heading (deg)</t>
  </si>
  <si>
    <t>0=N,90=E</t>
  </si>
  <si>
    <t>Pitch (deg)</t>
  </si>
  <si>
    <t>Ara Hesaplar (NOAA yaklaşımı)</t>
  </si>
  <si>
    <t>Parametre</t>
  </si>
  <si>
    <t>Formül / Sonuç</t>
  </si>
  <si>
    <t>Birim</t>
  </si>
  <si>
    <t>Çıktılar</t>
  </si>
  <si>
    <t>Gün içi saat (decimal hour)</t>
  </si>
  <si>
    <t>saat</t>
  </si>
  <si>
    <t>Güneş elevasyon (deg)</t>
  </si>
  <si>
    <t>Yıl içi gün (N)</t>
  </si>
  <si>
    <t>gün</t>
  </si>
  <si>
    <t>Güneş azimut (deg)</t>
  </si>
  <si>
    <t>γ (fractional year)</t>
  </si>
  <si>
    <t>radyan</t>
  </si>
  <si>
    <t>3B açı farkı θ (deg)</t>
  </si>
  <si>
    <t>EoT (equation of time)</t>
  </si>
  <si>
    <t>dakika</t>
  </si>
  <si>
    <t>δ (declination)</t>
  </si>
  <si>
    <t>Zaman ofseti</t>
  </si>
  <si>
    <t>Gerçek güneş zamanı (TST)</t>
  </si>
  <si>
    <t>Saat açısı (HA)</t>
  </si>
  <si>
    <t>Güneş zenit açısı</t>
  </si>
  <si>
    <t>Güneş elevasyon</t>
  </si>
  <si>
    <t>deg</t>
  </si>
  <si>
    <t>Güneş azimut</t>
  </si>
  <si>
    <t>Güneş vektörü x(E)</t>
  </si>
  <si>
    <t>Güneş vektörü y(N)</t>
  </si>
  <si>
    <t>Güneş vektörü z(U)</t>
  </si>
  <si>
    <t>Görüş vektörü x(E)</t>
  </si>
  <si>
    <t>Görüş vektörü y(N)</t>
  </si>
  <si>
    <t>Görüş vektörü z(U)</t>
  </si>
  <si>
    <t>Dot ürün</t>
  </si>
  <si>
    <t>Açı farkı θ</t>
  </si>
  <si>
    <t>SINIFLANDIRMA – GLARE ETKİSİ, K KATSAYISI, MESAFE KAYBI</t>
  </si>
  <si>
    <t>θ (deg)</t>
  </si>
  <si>
    <t>Etki sınıfı</t>
  </si>
  <si>
    <t>K (glare katsayısı)</t>
  </si>
  <si>
    <t>Vaka θ</t>
  </si>
  <si>
    <t>0–5</t>
  </si>
  <si>
    <t>Tam körlük</t>
  </si>
  <si>
    <t>0–5°</t>
  </si>
  <si>
    <t>5–10</t>
  </si>
  <si>
    <t>Çok yüksek</t>
  </si>
  <si>
    <t>5–10°</t>
  </si>
  <si>
    <t>K</t>
  </si>
  <si>
    <t>10–20</t>
  </si>
  <si>
    <t>Yüksek</t>
  </si>
  <si>
    <t>10–20°</t>
  </si>
  <si>
    <t>20–45</t>
  </si>
  <si>
    <t>Orta</t>
  </si>
  <si>
    <t>20–45°</t>
  </si>
  <si>
    <t>45–180</t>
  </si>
  <si>
    <t>Düşük/önemsiz</t>
  </si>
  <si>
    <t>&gt;45°</t>
  </si>
  <si>
    <t>t (s)</t>
  </si>
  <si>
    <t>Bu tabloda K, güneş etkisi nedeniyle algı/görüş kapasitesinin relatif çarpanı olarak kullanılır (yaklaşım). Dosya bazında sahadaki bulgularla kalibre edilebilir.</t>
  </si>
  <si>
    <t>Reaksiyon mesafesi (normal)</t>
  </si>
  <si>
    <t>Reaksiyon mesafesi (glare)</t>
  </si>
  <si>
    <t>Görüş/algı kaybı katsayısı</t>
  </si>
  <si>
    <t>RAPOR ÇIKTISI – KOPYALA/YAPIŞTIR ÖZET</t>
  </si>
  <si>
    <t>Tarih/Saat (yerel)</t>
  </si>
  <si>
    <t>Konum (enlem/boylam)</t>
  </si>
  <si>
    <t>Heading (°)</t>
  </si>
  <si>
    <t>Güneş elevasyon (°)</t>
  </si>
  <si>
    <t>Güneş azimut (°)</t>
  </si>
  <si>
    <t>3B açı farkı θ (°)</t>
  </si>
  <si>
    <t>Rapor cümlesi (tek satır)</t>
  </si>
  <si>
    <t>KURUMSAL MODEL – GÜNEŞ ETKENLİĞİ BİLEŞENİ (KITAP İÇİN)</t>
  </si>
  <si>
    <t>1) Veri üretimi (saha):</t>
  </si>
  <si>
    <t>• Kaza/ramak kala kayıtlarında tarih-saat, yön, konum ve sürücü beyanı standart alanlar olarak zorunlu tutulur.</t>
  </si>
  <si>
    <t>• Kritik kavşak/akslar için 'glare risk pencereleri' (ay-gün-saat aralıkları) haritalanır.</t>
  </si>
  <si>
    <t>2) Analiz çekirdeği (merkez):</t>
  </si>
  <si>
    <t>• Otomatik güneş konumu + θ hesabı ile olay dosyaları arasında karşılaştırılabilirlik sağlanır.</t>
  </si>
  <si>
    <t>• Etki sınıfı ve K katsayısı, müdahale önceliği ve kusur değerlendirmesi için ortak dil üretir.</t>
  </si>
  <si>
    <t xml:space="preserve">Amaç: Güneş parlaması (solar glare) etkisini 'yorum' seviyesinden çıkarıp ölçülebilir risk girdisine dönüştürmek.
</t>
  </si>
  <si>
    <t>3) Müdahale üretimi (idare):</t>
  </si>
  <si>
    <t>• Geometrik iyileştirme, gölgeleme/ekranlama, sinyalizasyon/faz revizyonu, hız yönetimi gibi çözümler glare pencerelerine göre hedeflenir.</t>
  </si>
  <si>
    <t>4) İzleme ve ölçme:</t>
  </si>
  <si>
    <t>• Müdahale öncesi/sonrası aynı glare pencerelerinde kaza/ramak kala oranı izlenir; 'önleyici etkinin' ölçümü kurumsal döngüye bağlanır.</t>
  </si>
  <si>
    <t>Dok.No:</t>
  </si>
  <si>
    <t>İso Belge</t>
  </si>
  <si>
    <t>Sayfa No:</t>
  </si>
  <si>
    <t>Bağ.Ol.Ay-Gün</t>
  </si>
  <si>
    <t>Haz.Tarihi:</t>
  </si>
  <si>
    <t>Yıl</t>
  </si>
  <si>
    <t>Birim :</t>
  </si>
  <si>
    <t>SEÇG-K Büro</t>
  </si>
  <si>
    <t>Yenileyen</t>
  </si>
  <si>
    <t>Revizyon No</t>
  </si>
  <si>
    <t>Klasör No :</t>
  </si>
  <si>
    <t xml:space="preserve">Konu </t>
  </si>
  <si>
    <t>Recep YILDIRIM</t>
  </si>
  <si>
    <t>Rvzyn Tarihi</t>
  </si>
  <si>
    <t>Arşiv Yeri :</t>
  </si>
  <si>
    <t>/</t>
  </si>
  <si>
    <t xml:space="preserve"> aracın gidiş yönü (0=Kuzey, 90=Doğu, 180=Güney, 270=Batı).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</si>
</sst>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Y_T_L_-;\-* #,##0\ _Y_T_L_-;_-* &quot;-&quot;\ _Y_T_L_-;_-@_-"/>
    <numFmt numFmtId="165" formatCode="[$-41F]d\ mmmm;@"/>
  </numFmts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charset val="162"/>
    </font>
    <font>
      <b/>
      <sz val="11"/>
      <name val="Calibri"/>
      <family val="2"/>
      <charset val="162"/>
    </font>
    <font>
      <b/>
      <sz val="16"/>
      <color rgb="FFFFFFFF"/>
      <name val="Calibri"/>
      <family val="2"/>
      <charset val="162"/>
    </font>
    <font>
      <u/>
      <sz val="11"/>
      <color theme="10"/>
      <name val="Calibri"/>
      <family val="2"/>
      <scheme val="minor"/>
    </font>
    <font>
      <sz val="10"/>
      <name val="Times New Roman"/>
      <family val="1"/>
      <charset val="162"/>
    </font>
    <font>
      <sz val="9"/>
      <name val="Times New Roman"/>
      <family val="1"/>
      <charset val="162"/>
    </font>
    <font>
      <sz val="11"/>
      <name val="Times New Roman"/>
      <family val="1"/>
      <charset val="162"/>
    </font>
    <font>
      <sz val="10"/>
      <name val="Arial Tur"/>
      <charset val="162"/>
    </font>
    <font>
      <sz val="12"/>
      <name val="Times New Roman"/>
      <family val="1"/>
      <charset val="162"/>
    </font>
    <font>
      <sz val="12"/>
      <color indexed="8"/>
      <name val="Times New Roman"/>
      <family val="1"/>
      <charset val="162"/>
    </font>
    <font>
      <sz val="8"/>
      <name val="Times New Roman"/>
      <family val="1"/>
      <charset val="162"/>
    </font>
    <font>
      <sz val="11"/>
      <color indexed="8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2"/>
      <color rgb="FFFFFFFF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rgb="FF008000"/>
      <name val="Times New Roman"/>
      <family val="1"/>
      <charset val="162"/>
    </font>
    <font>
      <b/>
      <sz val="12"/>
      <color rgb="FF0000FF"/>
      <name val="Times New Roman"/>
      <family val="1"/>
      <charset val="162"/>
    </font>
    <font>
      <b/>
      <sz val="12"/>
      <color rgb="FF1F4E79"/>
      <name val="Times New Roman"/>
      <family val="1"/>
      <charset val="162"/>
    </font>
    <font>
      <u/>
      <sz val="14"/>
      <color theme="10"/>
      <name val="Times New Roman"/>
      <family val="1"/>
      <charset val="16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gradientFill degree="90">
        <stop position="0">
          <color theme="0"/>
        </stop>
        <stop position="0.5">
          <color theme="9" tint="0.59999389629810485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gradientFill degree="270">
        <stop position="0">
          <color theme="0"/>
        </stop>
        <stop position="1">
          <color theme="8" tint="0.59999389629810485"/>
        </stop>
      </gradientFill>
    </fill>
  </fills>
  <borders count="37">
    <border>
      <left/>
      <right/>
      <top/>
      <bottom/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8" fillId="0" borderId="0"/>
  </cellStyleXfs>
  <cellXfs count="166">
    <xf numFmtId="0" fontId="0" fillId="0" borderId="0" xfId="0"/>
    <xf numFmtId="0" fontId="6" fillId="6" borderId="5" xfId="0" applyFont="1" applyFill="1" applyBorder="1" applyAlignment="1">
      <alignment horizontal="center"/>
    </xf>
    <xf numFmtId="0" fontId="9" fillId="0" borderId="8" xfId="2" applyFont="1" applyBorder="1"/>
    <xf numFmtId="0" fontId="9" fillId="0" borderId="0" xfId="2" applyFont="1"/>
    <xf numFmtId="0" fontId="9" fillId="0" borderId="8" xfId="0" applyFont="1" applyBorder="1"/>
    <xf numFmtId="0" fontId="15" fillId="0" borderId="0" xfId="0" applyFont="1"/>
    <xf numFmtId="0" fontId="9" fillId="6" borderId="5" xfId="0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9" fillId="4" borderId="11" xfId="1" applyFont="1" applyFill="1" applyBorder="1" applyAlignment="1" applyProtection="1">
      <alignment horizontal="center" vertical="center" wrapText="1"/>
    </xf>
    <xf numFmtId="0" fontId="19" fillId="4" borderId="12" xfId="1" applyFont="1" applyFill="1" applyBorder="1" applyAlignment="1" applyProtection="1">
      <alignment horizontal="center" vertical="center" wrapText="1"/>
    </xf>
    <xf numFmtId="0" fontId="19" fillId="4" borderId="13" xfId="1" applyFont="1" applyFill="1" applyBorder="1" applyAlignment="1" applyProtection="1">
      <alignment horizontal="center" vertical="center" wrapText="1"/>
    </xf>
    <xf numFmtId="164" fontId="9" fillId="5" borderId="14" xfId="0" quotePrefix="1" applyNumberFormat="1" applyFont="1" applyFill="1" applyBorder="1" applyAlignment="1">
      <alignment horizontal="left"/>
    </xf>
    <xf numFmtId="164" fontId="9" fillId="5" borderId="15" xfId="0" quotePrefix="1" applyNumberFormat="1" applyFont="1" applyFill="1" applyBorder="1" applyAlignment="1">
      <alignment horizontal="left"/>
    </xf>
    <xf numFmtId="164" fontId="9" fillId="5" borderId="16" xfId="0" quotePrefix="1" applyNumberFormat="1" applyFont="1" applyFill="1" applyBorder="1" applyAlignment="1">
      <alignment horizontal="left"/>
    </xf>
    <xf numFmtId="0" fontId="9" fillId="6" borderId="10" xfId="0" applyFont="1" applyFill="1" applyBorder="1" applyAlignment="1">
      <alignment horizontal="center" wrapText="1"/>
    </xf>
    <xf numFmtId="164" fontId="9" fillId="5" borderId="10" xfId="0" applyNumberFormat="1" applyFont="1" applyFill="1" applyBorder="1"/>
    <xf numFmtId="165" fontId="9" fillId="6" borderId="10" xfId="0" applyNumberFormat="1" applyFont="1" applyFill="1" applyBorder="1" applyAlignment="1">
      <alignment horizontal="center" vertical="center" wrapText="1"/>
    </xf>
    <xf numFmtId="165" fontId="9" fillId="6" borderId="14" xfId="0" applyNumberFormat="1" applyFont="1" applyFill="1" applyBorder="1" applyAlignment="1">
      <alignment horizontal="center" vertical="center" wrapText="1"/>
    </xf>
    <xf numFmtId="165" fontId="9" fillId="6" borderId="17" xfId="0" applyNumberFormat="1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164" fontId="9" fillId="5" borderId="6" xfId="0" quotePrefix="1" applyNumberFormat="1" applyFont="1" applyFill="1" applyBorder="1" applyAlignment="1">
      <alignment horizontal="left"/>
    </xf>
    <xf numFmtId="164" fontId="9" fillId="5" borderId="21" xfId="0" quotePrefix="1" applyNumberFormat="1" applyFont="1" applyFill="1" applyBorder="1" applyAlignment="1">
      <alignment horizontal="left"/>
    </xf>
    <xf numFmtId="164" fontId="9" fillId="5" borderId="7" xfId="0" quotePrefix="1" applyNumberFormat="1" applyFont="1" applyFill="1" applyBorder="1" applyAlignment="1">
      <alignment horizontal="left"/>
    </xf>
    <xf numFmtId="164" fontId="9" fillId="5" borderId="5" xfId="0" applyNumberFormat="1" applyFont="1" applyFill="1" applyBorder="1"/>
    <xf numFmtId="165" fontId="9" fillId="6" borderId="5" xfId="0" applyNumberFormat="1" applyFont="1" applyFill="1" applyBorder="1" applyAlignment="1">
      <alignment horizontal="center"/>
    </xf>
    <xf numFmtId="165" fontId="9" fillId="6" borderId="6" xfId="0" applyNumberFormat="1" applyFont="1" applyFill="1" applyBorder="1" applyAlignment="1">
      <alignment horizontal="center"/>
    </xf>
    <xf numFmtId="165" fontId="9" fillId="6" borderId="22" xfId="0" applyNumberFormat="1" applyFont="1" applyFill="1" applyBorder="1" applyAlignment="1">
      <alignment horizontal="center"/>
    </xf>
    <xf numFmtId="14" fontId="9" fillId="6" borderId="5" xfId="0" quotePrefix="1" applyNumberFormat="1" applyFont="1" applyFill="1" applyBorder="1" applyAlignment="1">
      <alignment horizontal="center"/>
    </xf>
    <xf numFmtId="1" fontId="9" fillId="6" borderId="5" xfId="0" applyNumberFormat="1" applyFont="1" applyFill="1" applyBorder="1" applyAlignment="1">
      <alignment horizontal="center" vertical="center"/>
    </xf>
    <xf numFmtId="1" fontId="9" fillId="6" borderId="6" xfId="0" applyNumberFormat="1" applyFont="1" applyFill="1" applyBorder="1" applyAlignment="1">
      <alignment horizontal="center" vertical="center"/>
    </xf>
    <xf numFmtId="1" fontId="9" fillId="6" borderId="22" xfId="0" applyNumberFormat="1" applyFont="1" applyFill="1" applyBorder="1" applyAlignment="1">
      <alignment horizontal="center" vertical="center"/>
    </xf>
    <xf numFmtId="14" fontId="9" fillId="6" borderId="5" xfId="0" applyNumberFormat="1" applyFont="1" applyFill="1" applyBorder="1" applyAlignment="1">
      <alignment horizontal="center" vertical="center"/>
    </xf>
    <xf numFmtId="14" fontId="9" fillId="6" borderId="6" xfId="0" applyNumberFormat="1" applyFont="1" applyFill="1" applyBorder="1" applyAlignment="1">
      <alignment horizontal="center" vertical="center"/>
    </xf>
    <xf numFmtId="14" fontId="9" fillId="6" borderId="22" xfId="0" applyNumberFormat="1" applyFont="1" applyFill="1" applyBorder="1" applyAlignment="1">
      <alignment horizontal="center" vertical="center"/>
    </xf>
    <xf numFmtId="164" fontId="10" fillId="5" borderId="27" xfId="0" applyNumberFormat="1" applyFont="1" applyFill="1" applyBorder="1" applyAlignment="1">
      <alignment wrapText="1"/>
    </xf>
    <xf numFmtId="164" fontId="10" fillId="5" borderId="28" xfId="0" applyNumberFormat="1" applyFont="1" applyFill="1" applyBorder="1" applyAlignment="1">
      <alignment wrapText="1"/>
    </xf>
    <xf numFmtId="164" fontId="10" fillId="5" borderId="29" xfId="0" applyNumberFormat="1" applyFont="1" applyFill="1" applyBorder="1" applyAlignment="1">
      <alignment wrapText="1"/>
    </xf>
    <xf numFmtId="164" fontId="10" fillId="6" borderId="30" xfId="0" applyNumberFormat="1" applyFont="1" applyFill="1" applyBorder="1" applyAlignment="1">
      <alignment horizontal="left" vertical="center" wrapText="1"/>
    </xf>
    <xf numFmtId="164" fontId="10" fillId="6" borderId="28" xfId="0" applyNumberFormat="1" applyFont="1" applyFill="1" applyBorder="1" applyAlignment="1">
      <alignment horizontal="left" vertical="center" wrapText="1"/>
    </xf>
    <xf numFmtId="164" fontId="10" fillId="6" borderId="29" xfId="0" applyNumberFormat="1" applyFont="1" applyFill="1" applyBorder="1" applyAlignment="1">
      <alignment horizontal="left" vertical="center" wrapText="1"/>
    </xf>
    <xf numFmtId="164" fontId="9" fillId="6" borderId="31" xfId="0" applyNumberFormat="1" applyFont="1" applyFill="1" applyBorder="1" applyAlignment="1">
      <alignment horizontal="center"/>
    </xf>
    <xf numFmtId="164" fontId="9" fillId="6" borderId="32" xfId="0" applyNumberFormat="1" applyFont="1" applyFill="1" applyBorder="1" applyAlignment="1">
      <alignment horizontal="center"/>
    </xf>
    <xf numFmtId="164" fontId="9" fillId="5" borderId="35" xfId="0" applyNumberFormat="1" applyFont="1" applyFill="1" applyBorder="1" applyAlignment="1">
      <alignment horizontal="left"/>
    </xf>
    <xf numFmtId="14" fontId="9" fillId="6" borderId="30" xfId="0" applyNumberFormat="1" applyFont="1" applyFill="1" applyBorder="1" applyAlignment="1">
      <alignment horizontal="center"/>
    </xf>
    <xf numFmtId="14" fontId="9" fillId="6" borderId="28" xfId="0" applyNumberFormat="1" applyFont="1" applyFill="1" applyBorder="1" applyAlignment="1">
      <alignment horizontal="center"/>
    </xf>
    <xf numFmtId="14" fontId="9" fillId="6" borderId="29" xfId="0" applyNumberFormat="1" applyFont="1" applyFill="1" applyBorder="1" applyAlignment="1">
      <alignment horizontal="center"/>
    </xf>
    <xf numFmtId="164" fontId="9" fillId="5" borderId="33" xfId="0" applyNumberFormat="1" applyFont="1" applyFill="1" applyBorder="1" applyAlignment="1">
      <alignment horizontal="left" vertical="center"/>
    </xf>
    <xf numFmtId="0" fontId="9" fillId="6" borderId="33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/>
    </xf>
    <xf numFmtId="164" fontId="10" fillId="5" borderId="26" xfId="0" applyNumberFormat="1" applyFont="1" applyFill="1" applyBorder="1" applyAlignment="1">
      <alignment wrapText="1"/>
    </xf>
    <xf numFmtId="164" fontId="10" fillId="5" borderId="21" xfId="0" applyNumberFormat="1" applyFont="1" applyFill="1" applyBorder="1" applyAlignment="1">
      <alignment wrapText="1"/>
    </xf>
    <xf numFmtId="164" fontId="10" fillId="5" borderId="7" xfId="0" applyNumberFormat="1" applyFont="1" applyFill="1" applyBorder="1" applyAlignment="1">
      <alignment wrapText="1"/>
    </xf>
    <xf numFmtId="164" fontId="9" fillId="6" borderId="6" xfId="0" applyNumberFormat="1" applyFont="1" applyFill="1" applyBorder="1" applyAlignment="1">
      <alignment horizontal="center" vertical="center" wrapText="1"/>
    </xf>
    <xf numFmtId="164" fontId="9" fillId="6" borderId="21" xfId="0" applyNumberFormat="1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164" fontId="9" fillId="5" borderId="5" xfId="0" applyNumberFormat="1" applyFont="1" applyFill="1" applyBorder="1" applyAlignment="1">
      <alignment horizontal="left"/>
    </xf>
    <xf numFmtId="164" fontId="9" fillId="5" borderId="6" xfId="0" applyNumberFormat="1" applyFont="1" applyFill="1" applyBorder="1" applyAlignment="1">
      <alignment horizontal="left"/>
    </xf>
    <xf numFmtId="164" fontId="9" fillId="5" borderId="21" xfId="0" applyNumberFormat="1" applyFont="1" applyFill="1" applyBorder="1" applyAlignment="1">
      <alignment horizontal="left"/>
    </xf>
    <xf numFmtId="164" fontId="9" fillId="5" borderId="7" xfId="0" applyNumberFormat="1" applyFont="1" applyFill="1" applyBorder="1" applyAlignment="1">
      <alignment horizontal="left"/>
    </xf>
    <xf numFmtId="164" fontId="9" fillId="6" borderId="5" xfId="0" applyNumberFormat="1" applyFont="1" applyFill="1" applyBorder="1" applyAlignment="1">
      <alignment horizontal="center"/>
    </xf>
    <xf numFmtId="0" fontId="15" fillId="0" borderId="0" xfId="0" applyFont="1" applyAlignment="1">
      <alignment vertical="top" wrapText="1"/>
    </xf>
    <xf numFmtId="0" fontId="15" fillId="0" borderId="0" xfId="0" applyFont="1"/>
    <xf numFmtId="0" fontId="14" fillId="2" borderId="0" xfId="0" applyFont="1" applyFill="1"/>
    <xf numFmtId="0" fontId="13" fillId="3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3" fillId="3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1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5" fillId="0" borderId="5" xfId="0" applyFont="1" applyBorder="1"/>
    <xf numFmtId="0" fontId="15" fillId="0" borderId="5" xfId="0" applyFont="1" applyBorder="1" applyAlignment="1">
      <alignment horizontal="left" vertical="center"/>
    </xf>
    <xf numFmtId="0" fontId="13" fillId="0" borderId="5" xfId="0" applyFont="1" applyBorder="1"/>
    <xf numFmtId="0" fontId="16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6" xfId="0" applyFont="1" applyBorder="1"/>
    <xf numFmtId="0" fontId="13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5" fillId="0" borderId="5" xfId="0" applyFont="1" applyBorder="1" applyAlignment="1">
      <alignment vertical="top" wrapText="1"/>
    </xf>
    <xf numFmtId="0" fontId="15" fillId="0" borderId="5" xfId="0" applyFont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/>
    </xf>
    <xf numFmtId="0" fontId="15" fillId="0" borderId="7" xfId="0" applyFont="1" applyBorder="1"/>
    <xf numFmtId="0" fontId="15" fillId="0" borderId="7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0" fillId="0" borderId="0" xfId="0"/>
    <xf numFmtId="0" fontId="0" fillId="0" borderId="5" xfId="0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5" xfId="0" applyFont="1" applyFill="1" applyBorder="1" applyAlignment="1">
      <alignment horizontal="center" vertical="center"/>
    </xf>
    <xf numFmtId="164" fontId="5" fillId="5" borderId="5" xfId="0" applyNumberFormat="1" applyFont="1" applyFill="1" applyBorder="1"/>
    <xf numFmtId="165" fontId="7" fillId="6" borderId="5" xfId="0" applyNumberFormat="1" applyFont="1" applyFill="1" applyBorder="1" applyAlignment="1">
      <alignment horizontal="center"/>
    </xf>
    <xf numFmtId="165" fontId="7" fillId="6" borderId="6" xfId="0" applyNumberFormat="1" applyFont="1" applyFill="1" applyBorder="1" applyAlignment="1">
      <alignment horizontal="center"/>
    </xf>
    <xf numFmtId="165" fontId="7" fillId="6" borderId="22" xfId="0" applyNumberFormat="1" applyFont="1" applyFill="1" applyBorder="1" applyAlignment="1">
      <alignment horizontal="center"/>
    </xf>
    <xf numFmtId="164" fontId="6" fillId="5" borderId="6" xfId="0" quotePrefix="1" applyNumberFormat="1" applyFont="1" applyFill="1" applyBorder="1" applyAlignment="1">
      <alignment horizontal="left"/>
    </xf>
    <xf numFmtId="164" fontId="6" fillId="5" borderId="21" xfId="0" quotePrefix="1" applyNumberFormat="1" applyFont="1" applyFill="1" applyBorder="1" applyAlignment="1">
      <alignment horizontal="left"/>
    </xf>
    <xf numFmtId="164" fontId="6" fillId="5" borderId="7" xfId="0" quotePrefix="1" applyNumberFormat="1" applyFont="1" applyFill="1" applyBorder="1" applyAlignment="1">
      <alignment horizontal="left"/>
    </xf>
    <xf numFmtId="14" fontId="6" fillId="6" borderId="5" xfId="0" quotePrefix="1" applyNumberFormat="1" applyFont="1" applyFill="1" applyBorder="1" applyAlignment="1">
      <alignment horizontal="center"/>
    </xf>
    <xf numFmtId="1" fontId="7" fillId="6" borderId="5" xfId="0" applyNumberFormat="1" applyFont="1" applyFill="1" applyBorder="1" applyAlignment="1">
      <alignment horizontal="center" vertical="center"/>
    </xf>
    <xf numFmtId="1" fontId="7" fillId="6" borderId="6" xfId="0" applyNumberFormat="1" applyFont="1" applyFill="1" applyBorder="1" applyAlignment="1">
      <alignment horizontal="center" vertical="center"/>
    </xf>
    <xf numFmtId="1" fontId="7" fillId="6" borderId="22" xfId="0" applyNumberFormat="1" applyFont="1" applyFill="1" applyBorder="1" applyAlignment="1">
      <alignment horizontal="center" vertical="center"/>
    </xf>
    <xf numFmtId="164" fontId="12" fillId="5" borderId="26" xfId="0" applyNumberFormat="1" applyFont="1" applyFill="1" applyBorder="1" applyAlignment="1">
      <alignment wrapText="1"/>
    </xf>
    <xf numFmtId="164" fontId="12" fillId="5" borderId="21" xfId="0" applyNumberFormat="1" applyFont="1" applyFill="1" applyBorder="1" applyAlignment="1">
      <alignment wrapText="1"/>
    </xf>
    <xf numFmtId="164" fontId="12" fillId="5" borderId="7" xfId="0" applyNumberFormat="1" applyFont="1" applyFill="1" applyBorder="1" applyAlignment="1">
      <alignment wrapText="1"/>
    </xf>
    <xf numFmtId="164" fontId="6" fillId="5" borderId="5" xfId="0" applyNumberFormat="1" applyFont="1" applyFill="1" applyBorder="1" applyAlignment="1">
      <alignment horizontal="left"/>
    </xf>
    <xf numFmtId="164" fontId="6" fillId="5" borderId="6" xfId="0" applyNumberFormat="1" applyFont="1" applyFill="1" applyBorder="1" applyAlignment="1">
      <alignment horizontal="left"/>
    </xf>
    <xf numFmtId="164" fontId="6" fillId="5" borderId="21" xfId="0" applyNumberFormat="1" applyFont="1" applyFill="1" applyBorder="1" applyAlignment="1">
      <alignment horizontal="left"/>
    </xf>
    <xf numFmtId="164" fontId="6" fillId="5" borderId="7" xfId="0" applyNumberFormat="1" applyFont="1" applyFill="1" applyBorder="1" applyAlignment="1">
      <alignment horizontal="left"/>
    </xf>
    <xf numFmtId="164" fontId="6" fillId="6" borderId="5" xfId="0" applyNumberFormat="1" applyFont="1" applyFill="1" applyBorder="1" applyAlignment="1">
      <alignment horizontal="center"/>
    </xf>
    <xf numFmtId="14" fontId="11" fillId="6" borderId="5" xfId="0" applyNumberFormat="1" applyFont="1" applyFill="1" applyBorder="1" applyAlignment="1">
      <alignment horizontal="center" vertical="center"/>
    </xf>
    <xf numFmtId="14" fontId="11" fillId="6" borderId="6" xfId="0" applyNumberFormat="1" applyFont="1" applyFill="1" applyBorder="1" applyAlignment="1">
      <alignment horizontal="center" vertical="center"/>
    </xf>
    <xf numFmtId="14" fontId="11" fillId="6" borderId="22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6" fillId="5" borderId="14" xfId="0" quotePrefix="1" applyNumberFormat="1" applyFont="1" applyFill="1" applyBorder="1" applyAlignment="1">
      <alignment horizontal="left"/>
    </xf>
    <xf numFmtId="164" fontId="6" fillId="5" borderId="15" xfId="0" quotePrefix="1" applyNumberFormat="1" applyFont="1" applyFill="1" applyBorder="1" applyAlignment="1">
      <alignment horizontal="left"/>
    </xf>
    <xf numFmtId="164" fontId="6" fillId="5" borderId="16" xfId="0" quotePrefix="1" applyNumberFormat="1" applyFont="1" applyFill="1" applyBorder="1" applyAlignment="1">
      <alignment horizontal="left"/>
    </xf>
    <xf numFmtId="0" fontId="6" fillId="6" borderId="10" xfId="0" applyFont="1" applyFill="1" applyBorder="1" applyAlignment="1">
      <alignment horizontal="center" wrapText="1"/>
    </xf>
    <xf numFmtId="164" fontId="5" fillId="5" borderId="10" xfId="0" applyNumberFormat="1" applyFont="1" applyFill="1" applyBorder="1"/>
    <xf numFmtId="165" fontId="7" fillId="6" borderId="10" xfId="0" applyNumberFormat="1" applyFont="1" applyFill="1" applyBorder="1" applyAlignment="1">
      <alignment horizontal="center" vertical="center" wrapText="1"/>
    </xf>
    <xf numFmtId="165" fontId="7" fillId="6" borderId="14" xfId="0" applyNumberFormat="1" applyFont="1" applyFill="1" applyBorder="1" applyAlignment="1">
      <alignment horizontal="center" vertical="center" wrapText="1"/>
    </xf>
    <xf numFmtId="165" fontId="7" fillId="6" borderId="17" xfId="0" applyNumberFormat="1" applyFont="1" applyFill="1" applyBorder="1" applyAlignment="1">
      <alignment horizontal="center" vertical="center" wrapText="1"/>
    </xf>
    <xf numFmtId="164" fontId="6" fillId="5" borderId="33" xfId="0" applyNumberFormat="1" applyFont="1" applyFill="1" applyBorder="1" applyAlignment="1">
      <alignment horizontal="left" vertical="center"/>
    </xf>
    <xf numFmtId="0" fontId="11" fillId="6" borderId="33" xfId="0" applyFont="1" applyFill="1" applyBorder="1" applyAlignment="1">
      <alignment horizontal="center" vertical="center"/>
    </xf>
    <xf numFmtId="0" fontId="11" fillId="6" borderId="31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164" fontId="12" fillId="5" borderId="27" xfId="0" applyNumberFormat="1" applyFont="1" applyFill="1" applyBorder="1" applyAlignment="1">
      <alignment wrapText="1"/>
    </xf>
    <xf numFmtId="164" fontId="12" fillId="5" borderId="28" xfId="0" applyNumberFormat="1" applyFont="1" applyFill="1" applyBorder="1" applyAlignment="1">
      <alignment wrapText="1"/>
    </xf>
    <xf numFmtId="164" fontId="12" fillId="5" borderId="29" xfId="0" applyNumberFormat="1" applyFont="1" applyFill="1" applyBorder="1" applyAlignment="1">
      <alignment wrapText="1"/>
    </xf>
    <xf numFmtId="164" fontId="6" fillId="6" borderId="31" xfId="0" applyNumberFormat="1" applyFont="1" applyFill="1" applyBorder="1" applyAlignment="1">
      <alignment horizontal="center"/>
    </xf>
    <xf numFmtId="164" fontId="6" fillId="6" borderId="32" xfId="0" applyNumberFormat="1" applyFont="1" applyFill="1" applyBorder="1" applyAlignment="1">
      <alignment horizontal="center"/>
    </xf>
    <xf numFmtId="164" fontId="6" fillId="5" borderId="35" xfId="0" applyNumberFormat="1" applyFont="1" applyFill="1" applyBorder="1" applyAlignment="1">
      <alignment horizontal="left"/>
    </xf>
    <xf numFmtId="14" fontId="6" fillId="6" borderId="30" xfId="0" applyNumberFormat="1" applyFont="1" applyFill="1" applyBorder="1" applyAlignment="1">
      <alignment horizontal="center"/>
    </xf>
    <xf numFmtId="14" fontId="6" fillId="6" borderId="28" xfId="0" applyNumberFormat="1" applyFont="1" applyFill="1" applyBorder="1" applyAlignment="1">
      <alignment horizontal="center"/>
    </xf>
    <xf numFmtId="14" fontId="6" fillId="6" borderId="29" xfId="0" applyNumberFormat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3" fillId="2" borderId="0" xfId="0" applyFont="1" applyFill="1" applyAlignment="1">
      <alignment horizontal="center" vertical="center"/>
    </xf>
  </cellXfs>
  <cellStyles count="3">
    <cellStyle name="Köprü" xfId="1" builtinId="8"/>
    <cellStyle name="Normal" xfId="0" builtinId="0"/>
    <cellStyle name="Normal_BABAM4" xfId="2" xr:uid="{2EDDB8D4-36E3-44DF-89DB-14D78558DDC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19051</xdr:rowOff>
    </xdr:from>
    <xdr:to>
      <xdr:col>4</xdr:col>
      <xdr:colOff>295275</xdr:colOff>
      <xdr:row>2</xdr:row>
      <xdr:rowOff>152400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B463203-F88E-416F-A099-FA237E160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500"/>
                  </a14:imgEffect>
                  <a14:imgEffect>
                    <a14:saturation sat="45000"/>
                  </a14:imgEffect>
                  <a14:imgEffect>
                    <a14:brightnessContrast bright="8000" contrast="6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33375" y="19051"/>
          <a:ext cx="1181100" cy="571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9526</xdr:rowOff>
    </xdr:from>
    <xdr:to>
      <xdr:col>3</xdr:col>
      <xdr:colOff>247650</xdr:colOff>
      <xdr:row>2</xdr:row>
      <xdr:rowOff>152400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9C701135-C7F5-4211-AF36-9BC10D423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500"/>
                  </a14:imgEffect>
                  <a14:imgEffect>
                    <a14:saturation sat="45000"/>
                  </a14:imgEffect>
                  <a14:imgEffect>
                    <a14:brightnessContrast bright="8000" contrast="6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04800" y="9526"/>
          <a:ext cx="828675" cy="5810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9526</xdr:rowOff>
    </xdr:from>
    <xdr:to>
      <xdr:col>3</xdr:col>
      <xdr:colOff>247650</xdr:colOff>
      <xdr:row>2</xdr:row>
      <xdr:rowOff>190500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4C43A20-E9F6-4B1C-B3DF-6823FEC73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500"/>
                  </a14:imgEffect>
                  <a14:imgEffect>
                    <a14:saturation sat="45000"/>
                  </a14:imgEffect>
                  <a14:imgEffect>
                    <a14:brightnessContrast bright="8000" contrast="6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0500" y="9526"/>
          <a:ext cx="828675" cy="5810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9526</xdr:rowOff>
    </xdr:from>
    <xdr:to>
      <xdr:col>4</xdr:col>
      <xdr:colOff>9525</xdr:colOff>
      <xdr:row>2</xdr:row>
      <xdr:rowOff>133350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884C7E9E-44EA-44E6-91C8-460B6BE19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500"/>
                  </a14:imgEffect>
                  <a14:imgEffect>
                    <a14:saturation sat="45000"/>
                  </a14:imgEffect>
                  <a14:imgEffect>
                    <a14:brightnessContrast bright="8000" contrast="6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8125" y="9526"/>
          <a:ext cx="828675" cy="5810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9526</xdr:rowOff>
    </xdr:from>
    <xdr:to>
      <xdr:col>4</xdr:col>
      <xdr:colOff>152400</xdr:colOff>
      <xdr:row>3</xdr:row>
      <xdr:rowOff>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9EBFD77-DD25-4ED5-AE0C-0F7075CFC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500"/>
                  </a14:imgEffect>
                  <a14:imgEffect>
                    <a14:saturation sat="45000"/>
                  </a14:imgEffect>
                  <a14:imgEffect>
                    <a14:brightnessContrast bright="8000" contrast="6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9075" y="9526"/>
          <a:ext cx="828675" cy="5619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9526</xdr:rowOff>
    </xdr:from>
    <xdr:to>
      <xdr:col>5</xdr:col>
      <xdr:colOff>0</xdr:colOff>
      <xdr:row>2</xdr:row>
      <xdr:rowOff>171450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7F47D9C-D10E-47A4-B095-9C1450CA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500"/>
                  </a14:imgEffect>
                  <a14:imgEffect>
                    <a14:saturation sat="45000"/>
                  </a14:imgEffect>
                  <a14:imgEffect>
                    <a14:brightnessContrast bright="8000" contrast="6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9075" y="9526"/>
          <a:ext cx="828675" cy="5619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Yayla%20seres\&#199;ALI&#350;TAY\10.kitap%2010\E&#286;&#304;T&#304;M%20001.xlsx" TargetMode="External"/><Relationship Id="rId1" Type="http://schemas.openxmlformats.org/officeDocument/2006/relationships/externalLinkPath" Target="E&#286;&#304;T&#304;M%20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İLGİ HESAP"/>
      <sheetName val="Tanım"/>
      <sheetName val="Giriş"/>
      <sheetName val="Grş 1"/>
      <sheetName val="1."/>
      <sheetName val="2."/>
      <sheetName val="3."/>
      <sheetName val="4"/>
      <sheetName val="5"/>
      <sheetName val="6"/>
      <sheetName val="9Y"/>
      <sheetName val="Sayfa5"/>
      <sheetName val="Sayfa1"/>
      <sheetName val="19"/>
      <sheetName val="Sayfa2"/>
      <sheetName val="Sayfa3"/>
      <sheetName val="Sayfa4"/>
    </sheetNames>
    <sheetDataSet>
      <sheetData sheetId="0"/>
      <sheetData sheetId="1">
        <row r="2">
          <cell r="B2" t="str">
            <v>SERESLER BİLİRKİŞİLİK</v>
          </cell>
        </row>
        <row r="6">
          <cell r="C6" t="str">
            <v>Yaralamalı Maddi Hasarlı Trafik kazası</v>
          </cell>
        </row>
        <row r="9">
          <cell r="C9" t="str">
            <v>TRF.06.AC.E.25..012.</v>
          </cell>
        </row>
        <row r="11">
          <cell r="C11">
            <v>45710</v>
          </cell>
        </row>
        <row r="12">
          <cell r="C12" t="str">
            <v>Alınmadı</v>
          </cell>
        </row>
        <row r="15">
          <cell r="C15" t="str">
            <v>24/01.</v>
          </cell>
        </row>
        <row r="16">
          <cell r="C16">
            <v>45700</v>
          </cell>
        </row>
      </sheetData>
      <sheetData sheetId="2">
        <row r="4">
          <cell r="J4" t="str">
            <v>BİLİRKİŞİ RAPORUDUR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E&#286;&#304;T&#304;M%20001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7"/>
  <sheetViews>
    <sheetView workbookViewId="0"/>
  </sheetViews>
  <sheetFormatPr defaultColWidth="4.5703125" defaultRowHeight="15.75" x14ac:dyDescent="0.25"/>
  <cols>
    <col min="1" max="16384" width="4.5703125" style="7"/>
  </cols>
  <sheetData>
    <row r="1" spans="2:26" ht="18.75" x14ac:dyDescent="0.25">
      <c r="B1" s="12"/>
      <c r="C1" s="13"/>
      <c r="D1" s="13"/>
      <c r="E1" s="13"/>
      <c r="F1" s="16" t="str">
        <f>[1]Tanım!$B$2</f>
        <v>SERESLER BİLİRKİŞİLİK</v>
      </c>
      <c r="G1" s="17"/>
      <c r="H1" s="17"/>
      <c r="I1" s="17"/>
      <c r="J1" s="17"/>
      <c r="K1" s="17"/>
      <c r="L1" s="17"/>
      <c r="M1" s="17"/>
      <c r="N1" s="18"/>
      <c r="O1" s="19" t="s">
        <v>120</v>
      </c>
      <c r="P1" s="20"/>
      <c r="Q1" s="21"/>
      <c r="R1" s="22" t="str">
        <f>[1]Tanım!$C$9</f>
        <v>TRF.06.AC.E.25..012.</v>
      </c>
      <c r="S1" s="22"/>
      <c r="T1" s="22"/>
      <c r="U1" s="23" t="s">
        <v>121</v>
      </c>
      <c r="V1" s="23"/>
      <c r="W1" s="23"/>
      <c r="X1" s="24" t="str">
        <f>[1]Tanım!$C$12</f>
        <v>Alınmadı</v>
      </c>
      <c r="Y1" s="25"/>
      <c r="Z1" s="26"/>
    </row>
    <row r="2" spans="2:26" x14ac:dyDescent="0.25">
      <c r="B2" s="14"/>
      <c r="C2" s="15"/>
      <c r="D2" s="15"/>
      <c r="E2" s="15"/>
      <c r="F2" s="27" t="str">
        <f>[1]Giriş!$J$4</f>
        <v>BİLİRKİŞİ RAPORUDUR</v>
      </c>
      <c r="G2" s="28"/>
      <c r="H2" s="28"/>
      <c r="I2" s="28"/>
      <c r="J2" s="28"/>
      <c r="K2" s="28"/>
      <c r="L2" s="28"/>
      <c r="M2" s="28"/>
      <c r="N2" s="29"/>
      <c r="O2" s="33" t="s">
        <v>122</v>
      </c>
      <c r="P2" s="34"/>
      <c r="Q2" s="35"/>
      <c r="R2" s="6">
        <v>1</v>
      </c>
      <c r="S2" s="6" t="s">
        <v>135</v>
      </c>
      <c r="T2" s="6">
        <v>1</v>
      </c>
      <c r="U2" s="36" t="s">
        <v>123</v>
      </c>
      <c r="V2" s="36"/>
      <c r="W2" s="36"/>
      <c r="X2" s="37">
        <f ca="1">TODAY()</f>
        <v>46299</v>
      </c>
      <c r="Y2" s="38"/>
      <c r="Z2" s="39"/>
    </row>
    <row r="3" spans="2:26" x14ac:dyDescent="0.25">
      <c r="B3" s="14"/>
      <c r="C3" s="15"/>
      <c r="D3" s="15"/>
      <c r="E3" s="15"/>
      <c r="F3" s="30"/>
      <c r="G3" s="31"/>
      <c r="H3" s="31"/>
      <c r="I3" s="31"/>
      <c r="J3" s="31"/>
      <c r="K3" s="31"/>
      <c r="L3" s="31"/>
      <c r="M3" s="31"/>
      <c r="N3" s="32"/>
      <c r="O3" s="33" t="s">
        <v>124</v>
      </c>
      <c r="P3" s="34"/>
      <c r="Q3" s="35"/>
      <c r="R3" s="40">
        <f>[1]Tanım!$C$11</f>
        <v>45710</v>
      </c>
      <c r="S3" s="40"/>
      <c r="T3" s="40"/>
      <c r="U3" s="36" t="s">
        <v>125</v>
      </c>
      <c r="V3" s="36"/>
      <c r="W3" s="36"/>
      <c r="X3" s="41">
        <f ca="1">YEAR(X2)</f>
        <v>2026</v>
      </c>
      <c r="Y3" s="42"/>
      <c r="Z3" s="43"/>
    </row>
    <row r="4" spans="2:26" x14ac:dyDescent="0.25">
      <c r="B4" s="63" t="s">
        <v>126</v>
      </c>
      <c r="C4" s="64"/>
      <c r="D4" s="65"/>
      <c r="E4" s="66" t="s">
        <v>127</v>
      </c>
      <c r="F4" s="67"/>
      <c r="G4" s="67"/>
      <c r="H4" s="67"/>
      <c r="I4" s="67"/>
      <c r="J4" s="67"/>
      <c r="K4" s="68"/>
      <c r="L4" s="69" t="s">
        <v>128</v>
      </c>
      <c r="M4" s="69"/>
      <c r="N4" s="69"/>
      <c r="O4" s="70" t="s">
        <v>129</v>
      </c>
      <c r="P4" s="71"/>
      <c r="Q4" s="72"/>
      <c r="R4" s="73" t="str">
        <f>[1]Tanım!$C$15</f>
        <v>24/01.</v>
      </c>
      <c r="S4" s="73"/>
      <c r="T4" s="73"/>
      <c r="U4" s="36" t="s">
        <v>130</v>
      </c>
      <c r="V4" s="36"/>
      <c r="W4" s="36"/>
      <c r="X4" s="44"/>
      <c r="Y4" s="45"/>
      <c r="Z4" s="46"/>
    </row>
    <row r="5" spans="2:26" ht="16.5" thickBot="1" x14ac:dyDescent="0.3">
      <c r="B5" s="47" t="s">
        <v>131</v>
      </c>
      <c r="C5" s="48"/>
      <c r="D5" s="49"/>
      <c r="E5" s="50" t="str">
        <f>[1]Tanım!$C$6</f>
        <v>Yaralamalı Maddi Hasarlı Trafik kazası</v>
      </c>
      <c r="F5" s="51"/>
      <c r="G5" s="51"/>
      <c r="H5" s="51"/>
      <c r="I5" s="51"/>
      <c r="J5" s="51"/>
      <c r="K5" s="52"/>
      <c r="L5" s="53" t="s">
        <v>132</v>
      </c>
      <c r="M5" s="54"/>
      <c r="N5" s="54"/>
      <c r="O5" s="55" t="s">
        <v>133</v>
      </c>
      <c r="P5" s="55"/>
      <c r="Q5" s="55"/>
      <c r="R5" s="56">
        <f>[1]Tanım!$C$16</f>
        <v>45700</v>
      </c>
      <c r="S5" s="57"/>
      <c r="T5" s="58"/>
      <c r="U5" s="59" t="s">
        <v>134</v>
      </c>
      <c r="V5" s="59"/>
      <c r="W5" s="59"/>
      <c r="X5" s="60"/>
      <c r="Y5" s="61"/>
      <c r="Z5" s="62"/>
    </row>
    <row r="7" spans="2:26" x14ac:dyDescent="0.25">
      <c r="B7" s="11" t="s">
        <v>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9" spans="2:26" ht="36.75" customHeight="1" x14ac:dyDescent="0.25">
      <c r="B9" s="8" t="s">
        <v>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2:26" x14ac:dyDescent="0.25">
      <c r="B10" s="10" t="s">
        <v>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 ht="24.95" customHeight="1" x14ac:dyDescent="0.25">
      <c r="B11" s="8" t="s">
        <v>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 ht="24.95" customHeight="1" x14ac:dyDescent="0.25">
      <c r="B12" s="8" t="s">
        <v>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2:26" ht="24.95" customHeight="1" x14ac:dyDescent="0.25">
      <c r="B13" s="8" t="s">
        <v>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 ht="24.95" customHeight="1" x14ac:dyDescent="0.25">
      <c r="B14" s="8" t="s">
        <v>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6" spans="2:26" x14ac:dyDescent="0.25">
      <c r="B16" s="10" t="s">
        <v>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2:26" ht="32.25" customHeight="1" x14ac:dyDescent="0.25">
      <c r="B17" s="8" t="s">
        <v>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</sheetData>
  <mergeCells count="37">
    <mergeCell ref="U4:W4"/>
    <mergeCell ref="X4:Z4"/>
    <mergeCell ref="B5:D5"/>
    <mergeCell ref="E5:K5"/>
    <mergeCell ref="L5:N5"/>
    <mergeCell ref="O5:Q5"/>
    <mergeCell ref="R5:T5"/>
    <mergeCell ref="U5:W5"/>
    <mergeCell ref="X5:Z5"/>
    <mergeCell ref="B4:D4"/>
    <mergeCell ref="E4:K4"/>
    <mergeCell ref="L4:N4"/>
    <mergeCell ref="O4:Q4"/>
    <mergeCell ref="R4:T4"/>
    <mergeCell ref="B7:Z7"/>
    <mergeCell ref="B10:Z10"/>
    <mergeCell ref="B1:E3"/>
    <mergeCell ref="F1:N1"/>
    <mergeCell ref="O1:Q1"/>
    <mergeCell ref="R1:T1"/>
    <mergeCell ref="U1:W1"/>
    <mergeCell ref="X1:Z1"/>
    <mergeCell ref="F2:N3"/>
    <mergeCell ref="O2:Q2"/>
    <mergeCell ref="U2:W2"/>
    <mergeCell ref="X2:Z2"/>
    <mergeCell ref="O3:Q3"/>
    <mergeCell ref="R3:T3"/>
    <mergeCell ref="U3:W3"/>
    <mergeCell ref="X3:Z3"/>
    <mergeCell ref="B11:Z11"/>
    <mergeCell ref="B14:Z14"/>
    <mergeCell ref="B9:Z9"/>
    <mergeCell ref="B17:Z17"/>
    <mergeCell ref="B12:Z12"/>
    <mergeCell ref="B13:Z13"/>
    <mergeCell ref="B16:Z16"/>
  </mergeCells>
  <hyperlinks>
    <hyperlink ref="F1:N1" r:id="rId1" location="Tanım!B3" display="EĞİTİM%20001.xlsx#Tanım!B3" xr:uid="{5AEEB6FE-6F81-4092-AA0C-9ECCBCFAFD05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19"/>
  <sheetViews>
    <sheetView tabSelected="1" topLeftCell="A8" workbookViewId="0">
      <selection activeCell="B15" sqref="B15:H15"/>
    </sheetView>
  </sheetViews>
  <sheetFormatPr defaultColWidth="4.42578125" defaultRowHeight="15.75" x14ac:dyDescent="0.25"/>
  <cols>
    <col min="1" max="16384" width="4.42578125" style="5"/>
  </cols>
  <sheetData>
    <row r="1" spans="2:27" ht="18.75" x14ac:dyDescent="0.3">
      <c r="B1" s="12"/>
      <c r="C1" s="13"/>
      <c r="D1" s="13"/>
      <c r="E1" s="13"/>
      <c r="F1" s="87" t="str">
        <f>model!F1</f>
        <v>SERESLER BİLİRKİŞİLİK</v>
      </c>
      <c r="G1" s="87"/>
      <c r="H1" s="87"/>
      <c r="I1" s="87"/>
      <c r="J1" s="87"/>
      <c r="K1" s="87"/>
      <c r="L1" s="87"/>
      <c r="M1" s="87"/>
      <c r="N1" s="87"/>
      <c r="O1" s="19" t="s">
        <v>120</v>
      </c>
      <c r="P1" s="20"/>
      <c r="Q1" s="21"/>
      <c r="R1" s="22" t="str">
        <f>[1]Tanım!$C$9</f>
        <v>TRF.06.AC.E.25..012.</v>
      </c>
      <c r="S1" s="22"/>
      <c r="T1" s="22"/>
      <c r="U1" s="23" t="s">
        <v>121</v>
      </c>
      <c r="V1" s="23"/>
      <c r="W1" s="23"/>
      <c r="X1" s="24" t="str">
        <f>[1]Tanım!$C$12</f>
        <v>Alınmadı</v>
      </c>
      <c r="Y1" s="25"/>
      <c r="Z1" s="26"/>
    </row>
    <row r="2" spans="2:27" x14ac:dyDescent="0.25">
      <c r="B2" s="14"/>
      <c r="C2" s="15"/>
      <c r="D2" s="15"/>
      <c r="E2" s="15"/>
      <c r="F2" s="27" t="str">
        <f>[1]Giriş!$J$4</f>
        <v>BİLİRKİŞİ RAPORUDUR</v>
      </c>
      <c r="G2" s="28"/>
      <c r="H2" s="28"/>
      <c r="I2" s="28"/>
      <c r="J2" s="28"/>
      <c r="K2" s="28"/>
      <c r="L2" s="28"/>
      <c r="M2" s="28"/>
      <c r="N2" s="29"/>
      <c r="O2" s="33" t="s">
        <v>122</v>
      </c>
      <c r="P2" s="34"/>
      <c r="Q2" s="35"/>
      <c r="R2" s="6">
        <v>1</v>
      </c>
      <c r="S2" s="6" t="s">
        <v>135</v>
      </c>
      <c r="T2" s="6">
        <v>1</v>
      </c>
      <c r="U2" s="36" t="s">
        <v>123</v>
      </c>
      <c r="V2" s="36"/>
      <c r="W2" s="36"/>
      <c r="X2" s="37">
        <f ca="1">TODAY()</f>
        <v>46299</v>
      </c>
      <c r="Y2" s="38"/>
      <c r="Z2" s="39"/>
    </row>
    <row r="3" spans="2:27" x14ac:dyDescent="0.25">
      <c r="B3" s="14"/>
      <c r="C3" s="15"/>
      <c r="D3" s="15"/>
      <c r="E3" s="15"/>
      <c r="F3" s="30"/>
      <c r="G3" s="31"/>
      <c r="H3" s="31"/>
      <c r="I3" s="31"/>
      <c r="J3" s="31"/>
      <c r="K3" s="31"/>
      <c r="L3" s="31"/>
      <c r="M3" s="31"/>
      <c r="N3" s="32"/>
      <c r="O3" s="33" t="s">
        <v>124</v>
      </c>
      <c r="P3" s="34"/>
      <c r="Q3" s="35"/>
      <c r="R3" s="40">
        <f>[1]Tanım!$C$11</f>
        <v>45710</v>
      </c>
      <c r="S3" s="40"/>
      <c r="T3" s="40"/>
      <c r="U3" s="36" t="s">
        <v>125</v>
      </c>
      <c r="V3" s="36"/>
      <c r="W3" s="36"/>
      <c r="X3" s="41">
        <f ca="1">YEAR(X2)</f>
        <v>2026</v>
      </c>
      <c r="Y3" s="42"/>
      <c r="Z3" s="43"/>
    </row>
    <row r="4" spans="2:27" x14ac:dyDescent="0.25">
      <c r="B4" s="63" t="s">
        <v>126</v>
      </c>
      <c r="C4" s="64"/>
      <c r="D4" s="65"/>
      <c r="E4" s="66" t="s">
        <v>127</v>
      </c>
      <c r="F4" s="67"/>
      <c r="G4" s="67"/>
      <c r="H4" s="67"/>
      <c r="I4" s="67"/>
      <c r="J4" s="67"/>
      <c r="K4" s="68"/>
      <c r="L4" s="69" t="s">
        <v>128</v>
      </c>
      <c r="M4" s="69"/>
      <c r="N4" s="69"/>
      <c r="O4" s="70" t="s">
        <v>129</v>
      </c>
      <c r="P4" s="71"/>
      <c r="Q4" s="72"/>
      <c r="R4" s="73" t="str">
        <f>[1]Tanım!$C$15</f>
        <v>24/01.</v>
      </c>
      <c r="S4" s="73"/>
      <c r="T4" s="73"/>
      <c r="U4" s="36" t="s">
        <v>130</v>
      </c>
      <c r="V4" s="36"/>
      <c r="W4" s="36"/>
      <c r="X4" s="44"/>
      <c r="Y4" s="45"/>
      <c r="Z4" s="46"/>
    </row>
    <row r="5" spans="2:27" ht="16.5" thickBot="1" x14ac:dyDescent="0.3">
      <c r="B5" s="47" t="s">
        <v>131</v>
      </c>
      <c r="C5" s="48"/>
      <c r="D5" s="49"/>
      <c r="E5" s="50" t="str">
        <f>[1]Tanım!$C$6</f>
        <v>Yaralamalı Maddi Hasarlı Trafik kazası</v>
      </c>
      <c r="F5" s="51"/>
      <c r="G5" s="51"/>
      <c r="H5" s="51"/>
      <c r="I5" s="51"/>
      <c r="J5" s="51"/>
      <c r="K5" s="52"/>
      <c r="L5" s="53" t="s">
        <v>132</v>
      </c>
      <c r="M5" s="54"/>
      <c r="N5" s="54"/>
      <c r="O5" s="55" t="s">
        <v>133</v>
      </c>
      <c r="P5" s="55"/>
      <c r="Q5" s="55"/>
      <c r="R5" s="56">
        <f>[1]Tanım!$C$16</f>
        <v>45700</v>
      </c>
      <c r="S5" s="57"/>
      <c r="T5" s="58"/>
      <c r="U5" s="59" t="s">
        <v>134</v>
      </c>
      <c r="V5" s="59"/>
      <c r="W5" s="59"/>
      <c r="X5" s="60"/>
      <c r="Y5" s="61"/>
      <c r="Z5" s="62"/>
    </row>
    <row r="6" spans="2:27" ht="7.5" customHeight="1" x14ac:dyDescent="0.25"/>
    <row r="7" spans="2:27" ht="24" customHeight="1" x14ac:dyDescent="0.25">
      <c r="B7" s="76" t="s">
        <v>9</v>
      </c>
      <c r="C7" s="76"/>
      <c r="D7" s="76"/>
      <c r="E7" s="76"/>
      <c r="F7" s="76"/>
      <c r="G7" s="76"/>
      <c r="H7" s="76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2:27" ht="8.25" customHeight="1" x14ac:dyDescent="0.25"/>
    <row r="9" spans="2:27" ht="21.95" customHeight="1" x14ac:dyDescent="0.25">
      <c r="B9" s="77" t="s">
        <v>10</v>
      </c>
      <c r="C9" s="78"/>
      <c r="D9" s="78"/>
      <c r="E9" s="78"/>
      <c r="F9" s="78"/>
      <c r="G9" s="78"/>
      <c r="H9" s="79"/>
      <c r="I9" s="84" t="s">
        <v>11</v>
      </c>
      <c r="J9" s="83"/>
      <c r="K9" s="83"/>
      <c r="L9" s="83"/>
      <c r="M9" s="83" t="s">
        <v>12</v>
      </c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 spans="2:27" ht="21.95" customHeight="1" x14ac:dyDescent="0.25">
      <c r="B10" s="80" t="s">
        <v>13</v>
      </c>
      <c r="C10" s="81"/>
      <c r="D10" s="81"/>
      <c r="E10" s="81"/>
      <c r="F10" s="81"/>
      <c r="G10" s="81"/>
      <c r="H10" s="82"/>
      <c r="I10" s="85" t="s">
        <v>14</v>
      </c>
      <c r="J10" s="86"/>
      <c r="K10" s="86"/>
      <c r="L10" s="86"/>
      <c r="M10" s="74" t="s">
        <v>136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</row>
    <row r="11" spans="2:27" ht="21.95" customHeight="1" x14ac:dyDescent="0.25">
      <c r="B11" s="80" t="s">
        <v>15</v>
      </c>
      <c r="C11" s="81"/>
      <c r="D11" s="81"/>
      <c r="E11" s="81"/>
      <c r="F11" s="81"/>
      <c r="G11" s="81"/>
      <c r="H11" s="82"/>
      <c r="I11" s="85" t="s">
        <v>16</v>
      </c>
      <c r="J11" s="86"/>
      <c r="K11" s="86"/>
      <c r="L11" s="86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</row>
    <row r="12" spans="2:27" ht="21.95" customHeight="1" x14ac:dyDescent="0.25">
      <c r="B12" s="80" t="s">
        <v>17</v>
      </c>
      <c r="C12" s="81"/>
      <c r="D12" s="81"/>
      <c r="E12" s="81"/>
      <c r="F12" s="81"/>
      <c r="G12" s="81"/>
      <c r="H12" s="82"/>
      <c r="I12" s="85" t="s">
        <v>18</v>
      </c>
      <c r="J12" s="86"/>
      <c r="K12" s="86"/>
      <c r="L12" s="86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</row>
    <row r="13" spans="2:27" ht="21.95" customHeight="1" x14ac:dyDescent="0.25">
      <c r="B13" s="80" t="s">
        <v>19</v>
      </c>
      <c r="C13" s="81"/>
      <c r="D13" s="81"/>
      <c r="E13" s="81"/>
      <c r="F13" s="81"/>
      <c r="G13" s="81"/>
      <c r="H13" s="82"/>
      <c r="I13" s="85" t="s">
        <v>20</v>
      </c>
      <c r="J13" s="86"/>
      <c r="K13" s="86"/>
      <c r="L13" s="86"/>
      <c r="M13" s="74" t="s">
        <v>21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2:27" ht="21.95" customHeight="1" x14ac:dyDescent="0.25">
      <c r="B14" s="80" t="s">
        <v>22</v>
      </c>
      <c r="C14" s="81"/>
      <c r="D14" s="81"/>
      <c r="E14" s="81"/>
      <c r="F14" s="81"/>
      <c r="G14" s="81"/>
      <c r="H14" s="82"/>
      <c r="I14" s="85" t="s">
        <v>23</v>
      </c>
      <c r="J14" s="86"/>
      <c r="K14" s="86"/>
      <c r="L14" s="86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</row>
    <row r="15" spans="2:27" ht="21.95" customHeight="1" x14ac:dyDescent="0.25">
      <c r="B15" s="80" t="s">
        <v>24</v>
      </c>
      <c r="C15" s="81"/>
      <c r="D15" s="81"/>
      <c r="E15" s="81"/>
      <c r="F15" s="81"/>
      <c r="G15" s="81"/>
      <c r="H15" s="82"/>
      <c r="I15" s="85" t="s">
        <v>25</v>
      </c>
      <c r="J15" s="86"/>
      <c r="K15" s="86"/>
      <c r="L15" s="86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</row>
    <row r="16" spans="2:27" ht="21.95" customHeight="1" x14ac:dyDescent="0.25">
      <c r="B16" s="80" t="s">
        <v>26</v>
      </c>
      <c r="C16" s="81"/>
      <c r="D16" s="81"/>
      <c r="E16" s="81"/>
      <c r="F16" s="81"/>
      <c r="G16" s="81"/>
      <c r="H16" s="82"/>
      <c r="I16" s="85" t="s">
        <v>27</v>
      </c>
      <c r="J16" s="86"/>
      <c r="K16" s="86"/>
      <c r="L16" s="86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</row>
    <row r="17" spans="2:27" ht="21.95" customHeight="1" x14ac:dyDescent="0.25">
      <c r="B17" s="80" t="s">
        <v>28</v>
      </c>
      <c r="C17" s="81"/>
      <c r="D17" s="81"/>
      <c r="E17" s="81"/>
      <c r="F17" s="81"/>
      <c r="G17" s="81"/>
      <c r="H17" s="82"/>
      <c r="I17" s="85" t="s">
        <v>29</v>
      </c>
      <c r="J17" s="86"/>
      <c r="K17" s="86"/>
      <c r="L17" s="86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</row>
    <row r="18" spans="2:27" ht="21.95" customHeight="1" x14ac:dyDescent="0.25">
      <c r="B18" s="80" t="s">
        <v>30</v>
      </c>
      <c r="C18" s="81"/>
      <c r="D18" s="81"/>
      <c r="E18" s="81"/>
      <c r="F18" s="81"/>
      <c r="G18" s="81"/>
      <c r="H18" s="82"/>
      <c r="I18" s="85" t="s">
        <v>31</v>
      </c>
      <c r="J18" s="86"/>
      <c r="K18" s="86"/>
      <c r="L18" s="86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</row>
    <row r="19" spans="2:27" ht="21.95" customHeight="1" x14ac:dyDescent="0.25"/>
  </sheetData>
  <mergeCells count="59">
    <mergeCell ref="U5:W5"/>
    <mergeCell ref="X5:Z5"/>
    <mergeCell ref="B5:D5"/>
    <mergeCell ref="E5:K5"/>
    <mergeCell ref="L5:N5"/>
    <mergeCell ref="O5:Q5"/>
    <mergeCell ref="R5:T5"/>
    <mergeCell ref="U3:W3"/>
    <mergeCell ref="X3:Z3"/>
    <mergeCell ref="B4:D4"/>
    <mergeCell ref="E4:K4"/>
    <mergeCell ref="L4:N4"/>
    <mergeCell ref="O4:Q4"/>
    <mergeCell ref="R4:T4"/>
    <mergeCell ref="U4:W4"/>
    <mergeCell ref="X4:Z4"/>
    <mergeCell ref="M15:AA15"/>
    <mergeCell ref="M16:AA16"/>
    <mergeCell ref="M17:AA17"/>
    <mergeCell ref="M18:AA18"/>
    <mergeCell ref="B1:E3"/>
    <mergeCell ref="F1:N1"/>
    <mergeCell ref="O1:Q1"/>
    <mergeCell ref="R1:T1"/>
    <mergeCell ref="U1:W1"/>
    <mergeCell ref="X1:Z1"/>
    <mergeCell ref="F2:N3"/>
    <mergeCell ref="O2:Q2"/>
    <mergeCell ref="U2:W2"/>
    <mergeCell ref="X2:Z2"/>
    <mergeCell ref="O3:Q3"/>
    <mergeCell ref="R3:T3"/>
    <mergeCell ref="B15:H15"/>
    <mergeCell ref="B16:H16"/>
    <mergeCell ref="B17:H17"/>
    <mergeCell ref="B18:H18"/>
    <mergeCell ref="I9:L9"/>
    <mergeCell ref="I10:L10"/>
    <mergeCell ref="I11:L11"/>
    <mergeCell ref="I12:L12"/>
    <mergeCell ref="I13:L13"/>
    <mergeCell ref="I14:L14"/>
    <mergeCell ref="I15:L15"/>
    <mergeCell ref="I16:L16"/>
    <mergeCell ref="I17:L17"/>
    <mergeCell ref="I18:L18"/>
    <mergeCell ref="B13:H13"/>
    <mergeCell ref="B14:H14"/>
    <mergeCell ref="M13:AA13"/>
    <mergeCell ref="M14:AA14"/>
    <mergeCell ref="B7:AA7"/>
    <mergeCell ref="B9:H9"/>
    <mergeCell ref="B10:H10"/>
    <mergeCell ref="B11:H11"/>
    <mergeCell ref="B12:H12"/>
    <mergeCell ref="M9:AA9"/>
    <mergeCell ref="M10:AA10"/>
    <mergeCell ref="M11:AA11"/>
    <mergeCell ref="M12:AA12"/>
  </mergeCells>
  <hyperlinks>
    <hyperlink ref="F1:N1" location="model!A1" display="model!A1" xr:uid="{94BD73F1-79A1-44A4-8822-946E20944AEA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82"/>
  <sheetViews>
    <sheetView workbookViewId="0">
      <selection activeCell="F1" sqref="F1:N1"/>
    </sheetView>
  </sheetViews>
  <sheetFormatPr defaultColWidth="4.42578125" defaultRowHeight="15.75" x14ac:dyDescent="0.25"/>
  <cols>
    <col min="1" max="16384" width="4.42578125" style="5"/>
  </cols>
  <sheetData>
    <row r="1" spans="2:26" ht="15.75" customHeight="1" x14ac:dyDescent="0.3">
      <c r="B1" s="12"/>
      <c r="C1" s="13"/>
      <c r="D1" s="13"/>
      <c r="E1" s="13"/>
      <c r="F1" s="87" t="str">
        <f>model!F1</f>
        <v>SERESLER BİLİRKİŞİLİK</v>
      </c>
      <c r="G1" s="87"/>
      <c r="H1" s="87"/>
      <c r="I1" s="87"/>
      <c r="J1" s="87"/>
      <c r="K1" s="87"/>
      <c r="L1" s="87"/>
      <c r="M1" s="87"/>
      <c r="N1" s="87"/>
      <c r="O1" s="19" t="s">
        <v>120</v>
      </c>
      <c r="P1" s="20"/>
      <c r="Q1" s="21"/>
      <c r="R1" s="22" t="str">
        <f>[1]Tanım!$C$9</f>
        <v>TRF.06.AC.E.25..012.</v>
      </c>
      <c r="S1" s="22"/>
      <c r="T1" s="22"/>
      <c r="U1" s="23" t="s">
        <v>121</v>
      </c>
      <c r="V1" s="23"/>
      <c r="W1" s="23"/>
      <c r="X1" s="24" t="str">
        <f>[1]Tanım!$C$12</f>
        <v>Alınmadı</v>
      </c>
      <c r="Y1" s="25"/>
      <c r="Z1" s="26"/>
    </row>
    <row r="2" spans="2:26" x14ac:dyDescent="0.25">
      <c r="B2" s="14"/>
      <c r="C2" s="15"/>
      <c r="D2" s="15"/>
      <c r="E2" s="15"/>
      <c r="F2" s="27" t="str">
        <f>[1]Giriş!$J$4</f>
        <v>BİLİRKİŞİ RAPORUDUR</v>
      </c>
      <c r="G2" s="28"/>
      <c r="H2" s="28"/>
      <c r="I2" s="28"/>
      <c r="J2" s="28"/>
      <c r="K2" s="28"/>
      <c r="L2" s="28"/>
      <c r="M2" s="28"/>
      <c r="N2" s="29"/>
      <c r="O2" s="33" t="s">
        <v>122</v>
      </c>
      <c r="P2" s="34"/>
      <c r="Q2" s="35"/>
      <c r="R2" s="6">
        <v>1</v>
      </c>
      <c r="S2" s="6" t="s">
        <v>135</v>
      </c>
      <c r="T2" s="6">
        <v>1</v>
      </c>
      <c r="U2" s="36" t="s">
        <v>123</v>
      </c>
      <c r="V2" s="36"/>
      <c r="W2" s="36"/>
      <c r="X2" s="37">
        <f ca="1">TODAY()</f>
        <v>46299</v>
      </c>
      <c r="Y2" s="38"/>
      <c r="Z2" s="39"/>
    </row>
    <row r="3" spans="2:26" x14ac:dyDescent="0.25">
      <c r="B3" s="14"/>
      <c r="C3" s="15"/>
      <c r="D3" s="15"/>
      <c r="E3" s="15"/>
      <c r="F3" s="30"/>
      <c r="G3" s="31"/>
      <c r="H3" s="31"/>
      <c r="I3" s="31"/>
      <c r="J3" s="31"/>
      <c r="K3" s="31"/>
      <c r="L3" s="31"/>
      <c r="M3" s="31"/>
      <c r="N3" s="32"/>
      <c r="O3" s="33" t="s">
        <v>124</v>
      </c>
      <c r="P3" s="34"/>
      <c r="Q3" s="35"/>
      <c r="R3" s="40">
        <f>[1]Tanım!$C$11</f>
        <v>45710</v>
      </c>
      <c r="S3" s="40"/>
      <c r="T3" s="40"/>
      <c r="U3" s="36" t="s">
        <v>125</v>
      </c>
      <c r="V3" s="36"/>
      <c r="W3" s="36"/>
      <c r="X3" s="41">
        <f ca="1">YEAR(X2)</f>
        <v>2026</v>
      </c>
      <c r="Y3" s="42"/>
      <c r="Z3" s="43"/>
    </row>
    <row r="4" spans="2:26" x14ac:dyDescent="0.25">
      <c r="B4" s="63" t="s">
        <v>126</v>
      </c>
      <c r="C4" s="64"/>
      <c r="D4" s="65"/>
      <c r="E4" s="66" t="s">
        <v>127</v>
      </c>
      <c r="F4" s="67"/>
      <c r="G4" s="67"/>
      <c r="H4" s="67"/>
      <c r="I4" s="67"/>
      <c r="J4" s="67"/>
      <c r="K4" s="68"/>
      <c r="L4" s="69" t="s">
        <v>128</v>
      </c>
      <c r="M4" s="69"/>
      <c r="N4" s="69"/>
      <c r="O4" s="70" t="s">
        <v>129</v>
      </c>
      <c r="P4" s="71"/>
      <c r="Q4" s="72"/>
      <c r="R4" s="73" t="str">
        <f>[1]Tanım!$C$15</f>
        <v>24/01.</v>
      </c>
      <c r="S4" s="73"/>
      <c r="T4" s="73"/>
      <c r="U4" s="36" t="s">
        <v>130</v>
      </c>
      <c r="V4" s="36"/>
      <c r="W4" s="36"/>
      <c r="X4" s="44"/>
      <c r="Y4" s="45"/>
      <c r="Z4" s="46"/>
    </row>
    <row r="5" spans="2:26" ht="16.5" thickBot="1" x14ac:dyDescent="0.3">
      <c r="B5" s="47" t="s">
        <v>131</v>
      </c>
      <c r="C5" s="48"/>
      <c r="D5" s="49"/>
      <c r="E5" s="50" t="str">
        <f>[1]Tanım!$C$6</f>
        <v>Yaralamalı Maddi Hasarlı Trafik kazası</v>
      </c>
      <c r="F5" s="51"/>
      <c r="G5" s="51"/>
      <c r="H5" s="51"/>
      <c r="I5" s="51"/>
      <c r="J5" s="51"/>
      <c r="K5" s="52"/>
      <c r="L5" s="53" t="s">
        <v>132</v>
      </c>
      <c r="M5" s="54"/>
      <c r="N5" s="54"/>
      <c r="O5" s="55" t="s">
        <v>133</v>
      </c>
      <c r="P5" s="55"/>
      <c r="Q5" s="55"/>
      <c r="R5" s="56">
        <f>[1]Tanım!$C$16</f>
        <v>45700</v>
      </c>
      <c r="S5" s="57"/>
      <c r="T5" s="58"/>
      <c r="U5" s="59" t="s">
        <v>134</v>
      </c>
      <c r="V5" s="59"/>
      <c r="W5" s="59"/>
      <c r="X5" s="60"/>
      <c r="Y5" s="61"/>
      <c r="Z5" s="62"/>
    </row>
    <row r="6" spans="2:26" ht="9.75" customHeight="1" x14ac:dyDescent="0.25"/>
    <row r="7" spans="2:26" ht="24" customHeight="1" x14ac:dyDescent="0.25">
      <c r="B7" s="88" t="s">
        <v>32</v>
      </c>
      <c r="C7" s="88"/>
      <c r="D7" s="88"/>
      <c r="E7" s="88"/>
      <c r="F7" s="88"/>
      <c r="G7" s="88"/>
      <c r="H7" s="88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2:26" ht="3.75" customHeight="1" x14ac:dyDescent="0.25"/>
    <row r="9" spans="2:26" ht="26.25" customHeight="1" x14ac:dyDescent="0.25">
      <c r="B9" s="90" t="s">
        <v>33</v>
      </c>
      <c r="C9" s="90"/>
      <c r="D9" s="90"/>
      <c r="E9" s="90"/>
      <c r="F9" s="90"/>
      <c r="G9" s="90"/>
      <c r="H9" s="90"/>
      <c r="I9" s="90" t="s">
        <v>11</v>
      </c>
      <c r="J9" s="90"/>
      <c r="K9" s="90"/>
      <c r="L9" s="90"/>
      <c r="M9" s="90" t="s">
        <v>34</v>
      </c>
      <c r="N9" s="90"/>
      <c r="O9" s="90"/>
      <c r="P9" s="96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spans="2:26" x14ac:dyDescent="0.25">
      <c r="B10" s="92" t="s">
        <v>15</v>
      </c>
      <c r="C10" s="92"/>
      <c r="D10" s="92"/>
      <c r="E10" s="92"/>
      <c r="F10" s="92"/>
      <c r="G10" s="92"/>
      <c r="H10" s="92"/>
      <c r="I10" s="94" t="str">
        <f>Vaka_Girişi!I11</f>
        <v>2026-02-16 12:00</v>
      </c>
      <c r="J10" s="94"/>
      <c r="K10" s="94"/>
      <c r="L10" s="94"/>
      <c r="M10" s="92"/>
      <c r="N10" s="92"/>
      <c r="O10" s="92"/>
      <c r="P10" s="97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spans="2:26" x14ac:dyDescent="0.25">
      <c r="B11" s="92" t="s">
        <v>35</v>
      </c>
      <c r="C11" s="92"/>
      <c r="D11" s="92"/>
      <c r="E11" s="92"/>
      <c r="F11" s="92"/>
      <c r="G11" s="92"/>
      <c r="H11" s="92"/>
      <c r="I11" s="94">
        <f>VALUE(SUBSTITUTE(Vaka_Girişi!I12,"+",""))</f>
        <v>3</v>
      </c>
      <c r="J11" s="94"/>
      <c r="K11" s="94"/>
      <c r="L11" s="94"/>
      <c r="M11" s="92"/>
      <c r="N11" s="92"/>
      <c r="O11" s="92"/>
      <c r="P11" s="97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spans="2:26" x14ac:dyDescent="0.25">
      <c r="B12" s="92" t="s">
        <v>36</v>
      </c>
      <c r="C12" s="92"/>
      <c r="D12" s="92"/>
      <c r="E12" s="92"/>
      <c r="F12" s="92"/>
      <c r="G12" s="92"/>
      <c r="H12" s="92"/>
      <c r="I12" s="94">
        <f>VALUE(Vaka_Girişi!I13)</f>
        <v>410082</v>
      </c>
      <c r="J12" s="94"/>
      <c r="K12" s="94"/>
      <c r="L12" s="94"/>
      <c r="M12" s="92"/>
      <c r="N12" s="92"/>
      <c r="O12" s="92"/>
      <c r="P12" s="97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spans="2:26" x14ac:dyDescent="0.25">
      <c r="B13" s="92" t="s">
        <v>37</v>
      </c>
      <c r="C13" s="92"/>
      <c r="D13" s="92"/>
      <c r="E13" s="92"/>
      <c r="F13" s="92"/>
      <c r="G13" s="92"/>
      <c r="H13" s="92"/>
      <c r="I13" s="94">
        <f>VALUE(Vaka_Girişi!I14)</f>
        <v>289784</v>
      </c>
      <c r="J13" s="94"/>
      <c r="K13" s="94"/>
      <c r="L13" s="94"/>
      <c r="M13" s="92" t="s">
        <v>38</v>
      </c>
      <c r="N13" s="92"/>
      <c r="O13" s="92"/>
      <c r="P13" s="97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spans="2:26" x14ac:dyDescent="0.25">
      <c r="B14" s="92" t="s">
        <v>39</v>
      </c>
      <c r="C14" s="92"/>
      <c r="D14" s="92"/>
      <c r="E14" s="92"/>
      <c r="F14" s="92"/>
      <c r="G14" s="92"/>
      <c r="H14" s="92"/>
      <c r="I14" s="94">
        <f>VALUE(Vaka_Girişi!I15)</f>
        <v>90</v>
      </c>
      <c r="J14" s="94"/>
      <c r="K14" s="94"/>
      <c r="L14" s="94"/>
      <c r="M14" s="92" t="s">
        <v>40</v>
      </c>
      <c r="N14" s="92"/>
      <c r="O14" s="92"/>
      <c r="P14" s="97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spans="2:26" x14ac:dyDescent="0.25">
      <c r="B15" s="92" t="s">
        <v>41</v>
      </c>
      <c r="C15" s="92"/>
      <c r="D15" s="92"/>
      <c r="E15" s="92"/>
      <c r="F15" s="92"/>
      <c r="G15" s="92"/>
      <c r="H15" s="92"/>
      <c r="I15" s="94">
        <f>VALUE(Vaka_Girişi!I16)</f>
        <v>0</v>
      </c>
      <c r="J15" s="94"/>
      <c r="K15" s="94"/>
      <c r="L15" s="94"/>
      <c r="M15" s="92"/>
      <c r="N15" s="92"/>
      <c r="O15" s="92"/>
      <c r="P15" s="97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spans="2:26" x14ac:dyDescent="0.25">
      <c r="B16" s="93" t="s">
        <v>42</v>
      </c>
      <c r="C16" s="93"/>
      <c r="D16" s="93"/>
      <c r="E16" s="93"/>
      <c r="F16" s="93"/>
      <c r="G16" s="93"/>
      <c r="H16" s="93"/>
      <c r="I16" s="91"/>
      <c r="J16" s="91"/>
      <c r="K16" s="91"/>
      <c r="L16" s="91"/>
      <c r="M16" s="91"/>
      <c r="N16" s="91"/>
      <c r="O16" s="91"/>
      <c r="P16" s="98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spans="2:26" ht="5.25" customHeight="1" x14ac:dyDescent="0.25"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spans="2:26" ht="28.5" customHeight="1" x14ac:dyDescent="0.25">
      <c r="B18" s="90" t="s">
        <v>43</v>
      </c>
      <c r="C18" s="90"/>
      <c r="D18" s="90"/>
      <c r="E18" s="90"/>
      <c r="F18" s="90"/>
      <c r="G18" s="90"/>
      <c r="H18" s="90"/>
      <c r="I18" s="90" t="s">
        <v>44</v>
      </c>
      <c r="J18" s="90"/>
      <c r="K18" s="90"/>
      <c r="L18" s="90"/>
      <c r="M18" s="90" t="s">
        <v>45</v>
      </c>
      <c r="N18" s="90"/>
      <c r="O18" s="90"/>
      <c r="P18" s="90"/>
      <c r="Q18" s="90" t="s">
        <v>46</v>
      </c>
      <c r="R18" s="90"/>
      <c r="S18" s="90"/>
      <c r="T18" s="90"/>
      <c r="U18" s="90"/>
      <c r="V18" s="90"/>
      <c r="W18" s="91"/>
      <c r="X18" s="91"/>
      <c r="Y18" s="91"/>
      <c r="Z18" s="91"/>
    </row>
    <row r="19" spans="2:26" x14ac:dyDescent="0.25">
      <c r="B19" s="92" t="s">
        <v>47</v>
      </c>
      <c r="C19" s="92"/>
      <c r="D19" s="92"/>
      <c r="E19" s="92"/>
      <c r="F19" s="92"/>
      <c r="G19" s="92"/>
      <c r="H19" s="92"/>
      <c r="I19" s="92">
        <f>HOUR(I10)+MINUTE(I10)/60+SECOND(I10)/3600</f>
        <v>12</v>
      </c>
      <c r="J19" s="92"/>
      <c r="K19" s="92"/>
      <c r="L19" s="92"/>
      <c r="M19" s="95" t="s">
        <v>48</v>
      </c>
      <c r="N19" s="95"/>
      <c r="O19" s="95"/>
      <c r="P19" s="95"/>
      <c r="Q19" s="92" t="s">
        <v>49</v>
      </c>
      <c r="R19" s="92"/>
      <c r="S19" s="92"/>
      <c r="T19" s="92"/>
      <c r="U19" s="92"/>
      <c r="V19" s="92"/>
      <c r="W19" s="99">
        <f>I27</f>
        <v>2.5387655330712082</v>
      </c>
      <c r="X19" s="99"/>
      <c r="Y19" s="99"/>
      <c r="Z19" s="99"/>
    </row>
    <row r="20" spans="2:26" x14ac:dyDescent="0.25">
      <c r="B20" s="92" t="s">
        <v>50</v>
      </c>
      <c r="C20" s="92"/>
      <c r="D20" s="92"/>
      <c r="E20" s="92"/>
      <c r="F20" s="92"/>
      <c r="G20" s="92"/>
      <c r="H20" s="92"/>
      <c r="I20" s="92">
        <f>I10-DATE(YEAR(I10),1,0)</f>
        <v>47.5</v>
      </c>
      <c r="J20" s="92"/>
      <c r="K20" s="92"/>
      <c r="L20" s="92"/>
      <c r="M20" s="95" t="s">
        <v>51</v>
      </c>
      <c r="N20" s="95"/>
      <c r="O20" s="95"/>
      <c r="P20" s="95"/>
      <c r="Q20" s="92" t="s">
        <v>52</v>
      </c>
      <c r="R20" s="92"/>
      <c r="S20" s="92"/>
      <c r="T20" s="92"/>
      <c r="U20" s="92"/>
      <c r="V20" s="92"/>
      <c r="W20" s="99">
        <f>I28</f>
        <v>-289465.44568465988</v>
      </c>
      <c r="X20" s="99"/>
      <c r="Y20" s="99"/>
      <c r="Z20" s="99"/>
    </row>
    <row r="21" spans="2:26" x14ac:dyDescent="0.25">
      <c r="B21" s="92" t="s">
        <v>53</v>
      </c>
      <c r="C21" s="92"/>
      <c r="D21" s="92"/>
      <c r="E21" s="92"/>
      <c r="F21" s="92"/>
      <c r="G21" s="92"/>
      <c r="H21" s="92"/>
      <c r="I21" s="92">
        <f>2*PI()/365*(I20-1+(I19-12)/24)</f>
        <v>0.80046059392835822</v>
      </c>
      <c r="J21" s="92"/>
      <c r="K21" s="92"/>
      <c r="L21" s="92"/>
      <c r="M21" s="95" t="s">
        <v>54</v>
      </c>
      <c r="N21" s="95"/>
      <c r="O21" s="95"/>
      <c r="P21" s="95"/>
      <c r="Q21" s="92" t="s">
        <v>55</v>
      </c>
      <c r="R21" s="92"/>
      <c r="S21" s="92"/>
      <c r="T21" s="92"/>
      <c r="U21" s="92"/>
      <c r="V21" s="92"/>
      <c r="W21" s="99">
        <f>I36</f>
        <v>1.9117995035680926</v>
      </c>
      <c r="X21" s="99"/>
      <c r="Y21" s="99"/>
      <c r="Z21" s="99"/>
    </row>
    <row r="22" spans="2:26" x14ac:dyDescent="0.25">
      <c r="B22" s="92" t="s">
        <v>56</v>
      </c>
      <c r="C22" s="92"/>
      <c r="D22" s="92"/>
      <c r="E22" s="92"/>
      <c r="F22" s="92"/>
      <c r="G22" s="92"/>
      <c r="H22" s="92"/>
      <c r="I22" s="92">
        <f>229.18*(0.000075+0.001868*COS(I21)-0.032077*SIN(I21)-0.014615*COS(2*I21)-0.040849*SIN(2*I21))</f>
        <v>-14.217261360601986</v>
      </c>
      <c r="J22" s="92"/>
      <c r="K22" s="92"/>
      <c r="L22" s="92"/>
      <c r="M22" s="95" t="s">
        <v>57</v>
      </c>
      <c r="N22" s="95"/>
      <c r="O22" s="95"/>
      <c r="P22" s="95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2:26" x14ac:dyDescent="0.25">
      <c r="B23" s="92" t="s">
        <v>58</v>
      </c>
      <c r="C23" s="92"/>
      <c r="D23" s="92"/>
      <c r="E23" s="92"/>
      <c r="F23" s="92"/>
      <c r="G23" s="92"/>
      <c r="H23" s="92"/>
      <c r="I23" s="92">
        <f>0.006918-0.399912*COS(I21)+0.070257*SIN(I21)-0.006758*COS(2*I21)+0.000907*SIN(2*I21)-0.002697*COS(3*I21)+0.00148*SIN(3*I21)</f>
        <v>-0.21704979797740637</v>
      </c>
      <c r="J23" s="92"/>
      <c r="K23" s="92"/>
      <c r="L23" s="92"/>
      <c r="M23" s="95" t="s">
        <v>54</v>
      </c>
      <c r="N23" s="95"/>
      <c r="O23" s="95"/>
      <c r="P23" s="95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2:26" x14ac:dyDescent="0.25">
      <c r="B24" s="92" t="s">
        <v>59</v>
      </c>
      <c r="C24" s="92"/>
      <c r="D24" s="92"/>
      <c r="E24" s="92"/>
      <c r="F24" s="92"/>
      <c r="G24" s="92"/>
      <c r="H24" s="92"/>
      <c r="I24" s="92">
        <f>I22+4*I13-60*I11</f>
        <v>1158941.7827386395</v>
      </c>
      <c r="J24" s="92"/>
      <c r="K24" s="92"/>
      <c r="L24" s="92"/>
      <c r="M24" s="95" t="s">
        <v>57</v>
      </c>
      <c r="N24" s="95"/>
      <c r="O24" s="95"/>
      <c r="P24" s="95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2:26" x14ac:dyDescent="0.25">
      <c r="B25" s="92" t="s">
        <v>60</v>
      </c>
      <c r="C25" s="92"/>
      <c r="D25" s="92"/>
      <c r="E25" s="92"/>
      <c r="F25" s="92"/>
      <c r="G25" s="92"/>
      <c r="H25" s="92"/>
      <c r="I25" s="92">
        <f>MOD(I19*60+I23,1440)</f>
        <v>719.78295020202256</v>
      </c>
      <c r="J25" s="92"/>
      <c r="K25" s="92"/>
      <c r="L25" s="92"/>
      <c r="M25" s="95" t="s">
        <v>57</v>
      </c>
      <c r="N25" s="95"/>
      <c r="O25" s="95"/>
      <c r="P25" s="95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2:26" x14ac:dyDescent="0.25">
      <c r="B26" s="92" t="s">
        <v>61</v>
      </c>
      <c r="C26" s="92"/>
      <c r="D26" s="92"/>
      <c r="E26" s="92"/>
      <c r="F26" s="92"/>
      <c r="G26" s="92"/>
      <c r="H26" s="92"/>
      <c r="I26" s="92">
        <f>RADIANS(IF(I24/4&lt;0,I24/4+180,I24/4-180))</f>
        <v>5053.6958942769215</v>
      </c>
      <c r="J26" s="92"/>
      <c r="K26" s="92"/>
      <c r="L26" s="92"/>
      <c r="M26" s="95" t="s">
        <v>54</v>
      </c>
      <c r="N26" s="95"/>
      <c r="O26" s="95"/>
      <c r="P26" s="95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2:26" x14ac:dyDescent="0.25">
      <c r="B27" s="92" t="s">
        <v>62</v>
      </c>
      <c r="C27" s="92"/>
      <c r="D27" s="92"/>
      <c r="E27" s="92"/>
      <c r="F27" s="92"/>
      <c r="G27" s="92"/>
      <c r="H27" s="92"/>
      <c r="I27" s="92">
        <f>ACOS(SIN(RADIANS(I12))*SIN(I23)+COS(RADIANS(I12))*COS(I23)*COS(I25))</f>
        <v>2.5387655330712082</v>
      </c>
      <c r="J27" s="92"/>
      <c r="K27" s="92"/>
      <c r="L27" s="92"/>
      <c r="M27" s="95" t="s">
        <v>54</v>
      </c>
      <c r="N27" s="95"/>
      <c r="O27" s="95"/>
      <c r="P27" s="95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2:26" x14ac:dyDescent="0.25">
      <c r="B28" s="92" t="s">
        <v>63</v>
      </c>
      <c r="C28" s="92"/>
      <c r="D28" s="92"/>
      <c r="E28" s="92"/>
      <c r="F28" s="92"/>
      <c r="G28" s="92"/>
      <c r="H28" s="92"/>
      <c r="I28" s="92">
        <f>DEGREES(PI()/2-I26)</f>
        <v>-289465.44568465988</v>
      </c>
      <c r="J28" s="92"/>
      <c r="K28" s="92"/>
      <c r="L28" s="92"/>
      <c r="M28" s="95" t="s">
        <v>64</v>
      </c>
      <c r="N28" s="95"/>
      <c r="O28" s="95"/>
      <c r="P28" s="95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2:26" x14ac:dyDescent="0.25">
      <c r="B29" s="92" t="s">
        <v>65</v>
      </c>
      <c r="C29" s="92"/>
      <c r="D29" s="92"/>
      <c r="E29" s="92"/>
      <c r="F29" s="92"/>
      <c r="G29" s="92"/>
      <c r="H29" s="92"/>
      <c r="I29" s="92">
        <f>MOD(DEGREES(ATAN2(SIN(I25),COS(I25)*SIN(RADIANS(I12))-TAN(I23)*COS(RADIANS(I12))))+180,360)</f>
        <v>52.850573859183925</v>
      </c>
      <c r="J29" s="92"/>
      <c r="K29" s="92"/>
      <c r="L29" s="92"/>
      <c r="M29" s="95" t="s">
        <v>64</v>
      </c>
      <c r="N29" s="95"/>
      <c r="O29" s="95"/>
      <c r="P29" s="95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2:26" x14ac:dyDescent="0.25">
      <c r="B30" s="92" t="s">
        <v>66</v>
      </c>
      <c r="C30" s="92"/>
      <c r="D30" s="92"/>
      <c r="E30" s="92"/>
      <c r="F30" s="92"/>
      <c r="G30" s="92"/>
      <c r="H30" s="92"/>
      <c r="I30" s="92">
        <f>COS(RADIANS(I27))*SIN(RADIANS(I28))</f>
        <v>-0.42923355435965521</v>
      </c>
      <c r="J30" s="92"/>
      <c r="K30" s="92"/>
      <c r="L30" s="92"/>
      <c r="M30" s="95"/>
      <c r="N30" s="95"/>
      <c r="O30" s="95"/>
      <c r="P30" s="95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2:26" x14ac:dyDescent="0.25">
      <c r="B31" s="92" t="s">
        <v>67</v>
      </c>
      <c r="C31" s="92"/>
      <c r="D31" s="92"/>
      <c r="E31" s="92"/>
      <c r="F31" s="92"/>
      <c r="G31" s="92"/>
      <c r="H31" s="92"/>
      <c r="I31" s="92">
        <f>COS(RADIANS(I27))*COS(RADIANS(I28))</f>
        <v>0.90210669018526424</v>
      </c>
      <c r="J31" s="92"/>
      <c r="K31" s="92"/>
      <c r="L31" s="92"/>
      <c r="M31" s="95"/>
      <c r="N31" s="95"/>
      <c r="O31" s="95"/>
      <c r="P31" s="95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2:26" x14ac:dyDescent="0.25">
      <c r="B32" s="92" t="s">
        <v>68</v>
      </c>
      <c r="C32" s="92"/>
      <c r="D32" s="92"/>
      <c r="E32" s="92"/>
      <c r="F32" s="92"/>
      <c r="G32" s="92"/>
      <c r="H32" s="92"/>
      <c r="I32" s="92">
        <f>SIN(RADIANS(I27))</f>
        <v>4.4295319558217874E-2</v>
      </c>
      <c r="J32" s="92"/>
      <c r="K32" s="92"/>
      <c r="L32" s="92"/>
      <c r="M32" s="95"/>
      <c r="N32" s="95"/>
      <c r="O32" s="95"/>
      <c r="P32" s="95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2:26" x14ac:dyDescent="0.25">
      <c r="B33" s="92" t="s">
        <v>69</v>
      </c>
      <c r="C33" s="92"/>
      <c r="D33" s="92"/>
      <c r="E33" s="92"/>
      <c r="F33" s="92"/>
      <c r="G33" s="92"/>
      <c r="H33" s="92"/>
      <c r="I33" s="92">
        <f>COS(RADIANS(I15))*SIN(RADIANS(I14))</f>
        <v>1</v>
      </c>
      <c r="J33" s="92"/>
      <c r="K33" s="92"/>
      <c r="L33" s="92"/>
      <c r="M33" s="95"/>
      <c r="N33" s="95"/>
      <c r="O33" s="95"/>
      <c r="P33" s="95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spans="2:26" x14ac:dyDescent="0.25">
      <c r="B34" s="92" t="s">
        <v>70</v>
      </c>
      <c r="C34" s="92"/>
      <c r="D34" s="92"/>
      <c r="E34" s="92"/>
      <c r="F34" s="92"/>
      <c r="G34" s="92"/>
      <c r="H34" s="92"/>
      <c r="I34" s="92">
        <f>COS(RADIANS(I15))*COS(RADIANS(I14))</f>
        <v>6.1257422745431001E-17</v>
      </c>
      <c r="J34" s="92"/>
      <c r="K34" s="92"/>
      <c r="L34" s="92"/>
      <c r="M34" s="95"/>
      <c r="N34" s="95"/>
      <c r="O34" s="95"/>
      <c r="P34" s="95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2:26" x14ac:dyDescent="0.25">
      <c r="B35" s="92" t="s">
        <v>71</v>
      </c>
      <c r="C35" s="92"/>
      <c r="D35" s="92"/>
      <c r="E35" s="92"/>
      <c r="F35" s="92"/>
      <c r="G35" s="92"/>
      <c r="H35" s="92"/>
      <c r="I35" s="92">
        <f>SIN(RADIANS(I15))</f>
        <v>0</v>
      </c>
      <c r="J35" s="92"/>
      <c r="K35" s="92"/>
      <c r="L35" s="92"/>
      <c r="M35" s="95"/>
      <c r="N35" s="95"/>
      <c r="O35" s="95"/>
      <c r="P35" s="95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2:26" x14ac:dyDescent="0.25">
      <c r="B36" s="92" t="s">
        <v>72</v>
      </c>
      <c r="C36" s="92"/>
      <c r="D36" s="92"/>
      <c r="E36" s="92"/>
      <c r="F36" s="92"/>
      <c r="G36" s="92"/>
      <c r="H36" s="92"/>
      <c r="I36" s="92">
        <f>I29*I32 + I30*I33 + I31*I34</f>
        <v>1.9117995035680926</v>
      </c>
      <c r="J36" s="92"/>
      <c r="K36" s="92"/>
      <c r="L36" s="92"/>
      <c r="M36" s="95"/>
      <c r="N36" s="95"/>
      <c r="O36" s="95"/>
      <c r="P36" s="95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2:26" x14ac:dyDescent="0.25">
      <c r="B37" s="92" t="s">
        <v>73</v>
      </c>
      <c r="C37" s="92"/>
      <c r="D37" s="92"/>
      <c r="E37" s="92"/>
      <c r="F37" s="92"/>
      <c r="G37" s="92"/>
      <c r="H37" s="92"/>
      <c r="I37" s="92">
        <f>DEGREES(ACOS(MAX(-1,MIN(1,I35))))</f>
        <v>90</v>
      </c>
      <c r="J37" s="92"/>
      <c r="K37" s="92"/>
      <c r="L37" s="92"/>
      <c r="M37" s="95" t="s">
        <v>64</v>
      </c>
      <c r="N37" s="95"/>
      <c r="O37" s="95"/>
      <c r="P37" s="95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2:26" x14ac:dyDescent="0.25">
      <c r="I38" s="75"/>
      <c r="J38" s="75"/>
      <c r="K38" s="75"/>
      <c r="L38" s="75"/>
      <c r="M38" s="75"/>
      <c r="N38" s="75"/>
      <c r="O38" s="75"/>
      <c r="P38" s="75"/>
    </row>
    <row r="39" spans="2:26" x14ac:dyDescent="0.25">
      <c r="I39" s="75"/>
      <c r="J39" s="75"/>
      <c r="K39" s="75"/>
      <c r="L39" s="75"/>
      <c r="M39" s="75"/>
      <c r="N39" s="75"/>
      <c r="O39" s="75"/>
      <c r="P39" s="75"/>
    </row>
    <row r="40" spans="2:26" x14ac:dyDescent="0.25">
      <c r="I40" s="75"/>
      <c r="J40" s="75"/>
      <c r="K40" s="75"/>
      <c r="L40" s="75"/>
      <c r="M40" s="75"/>
      <c r="N40" s="75"/>
      <c r="O40" s="75"/>
      <c r="P40" s="75"/>
    </row>
    <row r="41" spans="2:26" x14ac:dyDescent="0.25">
      <c r="I41" s="75"/>
      <c r="J41" s="75"/>
      <c r="K41" s="75"/>
      <c r="L41" s="75"/>
      <c r="M41" s="75"/>
      <c r="N41" s="75"/>
      <c r="O41" s="75"/>
      <c r="P41" s="75"/>
    </row>
    <row r="42" spans="2:26" x14ac:dyDescent="0.25">
      <c r="I42" s="75"/>
      <c r="J42" s="75"/>
      <c r="K42" s="75"/>
      <c r="L42" s="75"/>
      <c r="M42" s="75"/>
      <c r="N42" s="75"/>
      <c r="O42" s="75"/>
      <c r="P42" s="75"/>
    </row>
    <row r="43" spans="2:26" x14ac:dyDescent="0.25">
      <c r="I43" s="75"/>
      <c r="J43" s="75"/>
      <c r="K43" s="75"/>
      <c r="L43" s="75"/>
      <c r="M43" s="75"/>
      <c r="N43" s="75"/>
      <c r="O43" s="75"/>
      <c r="P43" s="75"/>
    </row>
    <row r="44" spans="2:26" x14ac:dyDescent="0.25">
      <c r="I44" s="75"/>
      <c r="J44" s="75"/>
      <c r="K44" s="75"/>
      <c r="L44" s="75"/>
      <c r="M44" s="75"/>
      <c r="N44" s="75"/>
      <c r="O44" s="75"/>
      <c r="P44" s="75"/>
    </row>
    <row r="45" spans="2:26" x14ac:dyDescent="0.25">
      <c r="I45" s="75"/>
      <c r="J45" s="75"/>
      <c r="K45" s="75"/>
      <c r="L45" s="75"/>
      <c r="M45" s="75"/>
      <c r="N45" s="75"/>
      <c r="O45" s="75"/>
      <c r="P45" s="75"/>
    </row>
    <row r="46" spans="2:26" x14ac:dyDescent="0.25">
      <c r="I46" s="75"/>
      <c r="J46" s="75"/>
      <c r="K46" s="75"/>
      <c r="L46" s="75"/>
      <c r="M46" s="75"/>
      <c r="N46" s="75"/>
      <c r="O46" s="75"/>
      <c r="P46" s="75"/>
    </row>
    <row r="47" spans="2:26" x14ac:dyDescent="0.25">
      <c r="I47" s="75"/>
      <c r="J47" s="75"/>
      <c r="K47" s="75"/>
      <c r="L47" s="75"/>
      <c r="M47" s="75"/>
      <c r="N47" s="75"/>
      <c r="O47" s="75"/>
      <c r="P47" s="75"/>
    </row>
    <row r="48" spans="2:26" x14ac:dyDescent="0.25">
      <c r="I48" s="75"/>
      <c r="J48" s="75"/>
      <c r="K48" s="75"/>
      <c r="L48" s="75"/>
    </row>
    <row r="49" spans="9:12" x14ac:dyDescent="0.25">
      <c r="I49" s="75"/>
      <c r="J49" s="75"/>
      <c r="K49" s="75"/>
      <c r="L49" s="75"/>
    </row>
    <row r="50" spans="9:12" x14ac:dyDescent="0.25">
      <c r="I50" s="75"/>
      <c r="J50" s="75"/>
      <c r="K50" s="75"/>
      <c r="L50" s="75"/>
    </row>
    <row r="51" spans="9:12" x14ac:dyDescent="0.25">
      <c r="I51" s="75"/>
      <c r="J51" s="75"/>
      <c r="K51" s="75"/>
      <c r="L51" s="75"/>
    </row>
    <row r="52" spans="9:12" x14ac:dyDescent="0.25">
      <c r="I52" s="75"/>
      <c r="J52" s="75"/>
      <c r="K52" s="75"/>
      <c r="L52" s="75"/>
    </row>
    <row r="53" spans="9:12" x14ac:dyDescent="0.25">
      <c r="I53" s="75"/>
      <c r="J53" s="75"/>
      <c r="K53" s="75"/>
      <c r="L53" s="75"/>
    </row>
    <row r="54" spans="9:12" x14ac:dyDescent="0.25">
      <c r="I54" s="75"/>
      <c r="J54" s="75"/>
      <c r="K54" s="75"/>
      <c r="L54" s="75"/>
    </row>
    <row r="55" spans="9:12" x14ac:dyDescent="0.25">
      <c r="I55" s="75"/>
      <c r="J55" s="75"/>
      <c r="K55" s="75"/>
      <c r="L55" s="75"/>
    </row>
    <row r="56" spans="9:12" x14ac:dyDescent="0.25">
      <c r="I56" s="75"/>
      <c r="J56" s="75"/>
      <c r="K56" s="75"/>
      <c r="L56" s="75"/>
    </row>
    <row r="57" spans="9:12" x14ac:dyDescent="0.25">
      <c r="I57" s="75"/>
      <c r="J57" s="75"/>
      <c r="K57" s="75"/>
      <c r="L57" s="75"/>
    </row>
    <row r="58" spans="9:12" x14ac:dyDescent="0.25">
      <c r="I58" s="75"/>
      <c r="J58" s="75"/>
      <c r="K58" s="75"/>
      <c r="L58" s="75"/>
    </row>
    <row r="59" spans="9:12" x14ac:dyDescent="0.25">
      <c r="I59" s="75"/>
      <c r="J59" s="75"/>
      <c r="K59" s="75"/>
      <c r="L59" s="75"/>
    </row>
    <row r="60" spans="9:12" x14ac:dyDescent="0.25">
      <c r="I60" s="75"/>
      <c r="J60" s="75"/>
      <c r="K60" s="75"/>
      <c r="L60" s="75"/>
    </row>
    <row r="61" spans="9:12" x14ac:dyDescent="0.25">
      <c r="I61" s="75"/>
      <c r="J61" s="75"/>
      <c r="K61" s="75"/>
      <c r="L61" s="75"/>
    </row>
    <row r="62" spans="9:12" x14ac:dyDescent="0.25">
      <c r="I62" s="75"/>
      <c r="J62" s="75"/>
      <c r="K62" s="75"/>
      <c r="L62" s="75"/>
    </row>
    <row r="63" spans="9:12" x14ac:dyDescent="0.25">
      <c r="I63" s="75"/>
      <c r="J63" s="75"/>
      <c r="K63" s="75"/>
      <c r="L63" s="75"/>
    </row>
    <row r="64" spans="9:12" x14ac:dyDescent="0.25">
      <c r="I64" s="75"/>
      <c r="J64" s="75"/>
      <c r="K64" s="75"/>
      <c r="L64" s="75"/>
    </row>
    <row r="65" spans="9:12" x14ac:dyDescent="0.25">
      <c r="I65" s="75"/>
      <c r="J65" s="75"/>
      <c r="K65" s="75"/>
      <c r="L65" s="75"/>
    </row>
    <row r="66" spans="9:12" x14ac:dyDescent="0.25">
      <c r="I66" s="75"/>
      <c r="J66" s="75"/>
      <c r="K66" s="75"/>
      <c r="L66" s="75"/>
    </row>
    <row r="67" spans="9:12" x14ac:dyDescent="0.25">
      <c r="I67" s="75"/>
      <c r="J67" s="75"/>
      <c r="K67" s="75"/>
      <c r="L67" s="75"/>
    </row>
    <row r="68" spans="9:12" x14ac:dyDescent="0.25">
      <c r="I68" s="75"/>
      <c r="J68" s="75"/>
      <c r="K68" s="75"/>
      <c r="L68" s="75"/>
    </row>
    <row r="69" spans="9:12" x14ac:dyDescent="0.25">
      <c r="I69" s="75"/>
      <c r="J69" s="75"/>
      <c r="K69" s="75"/>
      <c r="L69" s="75"/>
    </row>
    <row r="70" spans="9:12" x14ac:dyDescent="0.25">
      <c r="I70" s="75"/>
      <c r="J70" s="75"/>
      <c r="K70" s="75"/>
      <c r="L70" s="75"/>
    </row>
    <row r="71" spans="9:12" x14ac:dyDescent="0.25">
      <c r="I71" s="75"/>
      <c r="J71" s="75"/>
      <c r="K71" s="75"/>
      <c r="L71" s="75"/>
    </row>
    <row r="72" spans="9:12" x14ac:dyDescent="0.25">
      <c r="I72" s="75"/>
      <c r="J72" s="75"/>
      <c r="K72" s="75"/>
      <c r="L72" s="75"/>
    </row>
    <row r="73" spans="9:12" x14ac:dyDescent="0.25">
      <c r="I73" s="75"/>
      <c r="J73" s="75"/>
      <c r="K73" s="75"/>
      <c r="L73" s="75"/>
    </row>
    <row r="74" spans="9:12" x14ac:dyDescent="0.25">
      <c r="I74" s="75"/>
      <c r="J74" s="75"/>
      <c r="K74" s="75"/>
      <c r="L74" s="75"/>
    </row>
    <row r="75" spans="9:12" x14ac:dyDescent="0.25">
      <c r="I75" s="75"/>
      <c r="J75" s="75"/>
      <c r="K75" s="75"/>
      <c r="L75" s="75"/>
    </row>
    <row r="76" spans="9:12" x14ac:dyDescent="0.25">
      <c r="I76" s="75"/>
      <c r="J76" s="75"/>
      <c r="K76" s="75"/>
      <c r="L76" s="75"/>
    </row>
    <row r="77" spans="9:12" x14ac:dyDescent="0.25">
      <c r="I77" s="75"/>
      <c r="J77" s="75"/>
      <c r="K77" s="75"/>
      <c r="L77" s="75"/>
    </row>
    <row r="78" spans="9:12" x14ac:dyDescent="0.25">
      <c r="I78" s="75"/>
      <c r="J78" s="75"/>
      <c r="K78" s="75"/>
      <c r="L78" s="75"/>
    </row>
    <row r="79" spans="9:12" x14ac:dyDescent="0.25">
      <c r="I79" s="75"/>
      <c r="J79" s="75"/>
      <c r="K79" s="75"/>
      <c r="L79" s="75"/>
    </row>
    <row r="80" spans="9:12" x14ac:dyDescent="0.25">
      <c r="I80" s="75"/>
      <c r="J80" s="75"/>
      <c r="K80" s="75"/>
      <c r="L80" s="75"/>
    </row>
    <row r="81" spans="9:12" x14ac:dyDescent="0.25">
      <c r="I81" s="75"/>
      <c r="J81" s="75"/>
      <c r="K81" s="75"/>
      <c r="L81" s="75"/>
    </row>
    <row r="82" spans="9:12" x14ac:dyDescent="0.25">
      <c r="I82" s="75"/>
      <c r="J82" s="75"/>
      <c r="K82" s="75"/>
      <c r="L82" s="75"/>
    </row>
  </sheetData>
  <mergeCells count="211">
    <mergeCell ref="U5:W5"/>
    <mergeCell ref="X5:Z5"/>
    <mergeCell ref="B5:D5"/>
    <mergeCell ref="E5:K5"/>
    <mergeCell ref="L5:N5"/>
    <mergeCell ref="O5:Q5"/>
    <mergeCell ref="R5:T5"/>
    <mergeCell ref="X3:Z3"/>
    <mergeCell ref="B4:D4"/>
    <mergeCell ref="E4:K4"/>
    <mergeCell ref="L4:N4"/>
    <mergeCell ref="O4:Q4"/>
    <mergeCell ref="R4:T4"/>
    <mergeCell ref="U4:W4"/>
    <mergeCell ref="X4:Z4"/>
    <mergeCell ref="W36:Z36"/>
    <mergeCell ref="W37:Z37"/>
    <mergeCell ref="Q9:Z17"/>
    <mergeCell ref="B1:E3"/>
    <mergeCell ref="F1:N1"/>
    <mergeCell ref="O1:Q1"/>
    <mergeCell ref="R1:T1"/>
    <mergeCell ref="U1:W1"/>
    <mergeCell ref="X1:Z1"/>
    <mergeCell ref="F2:N3"/>
    <mergeCell ref="O2:Q2"/>
    <mergeCell ref="U2:W2"/>
    <mergeCell ref="X2:Z2"/>
    <mergeCell ref="O3:Q3"/>
    <mergeCell ref="R3:T3"/>
    <mergeCell ref="U3:W3"/>
    <mergeCell ref="W31:Z31"/>
    <mergeCell ref="W32:Z32"/>
    <mergeCell ref="W33:Z33"/>
    <mergeCell ref="W34:Z34"/>
    <mergeCell ref="W35:Z35"/>
    <mergeCell ref="Q34:V34"/>
    <mergeCell ref="Q35:V35"/>
    <mergeCell ref="Q36:V36"/>
    <mergeCell ref="Q37:V37"/>
    <mergeCell ref="W19:Z19"/>
    <mergeCell ref="W20:Z20"/>
    <mergeCell ref="W21:Z21"/>
    <mergeCell ref="W22:Z22"/>
    <mergeCell ref="W23:Z23"/>
    <mergeCell ref="W24:Z24"/>
    <mergeCell ref="W25:Z25"/>
    <mergeCell ref="W26:Z26"/>
    <mergeCell ref="W27:Z27"/>
    <mergeCell ref="W28:Z28"/>
    <mergeCell ref="W29:Z29"/>
    <mergeCell ref="W30:Z30"/>
    <mergeCell ref="Q29:V29"/>
    <mergeCell ref="Q30:V30"/>
    <mergeCell ref="Q31:V31"/>
    <mergeCell ref="Q32:V32"/>
    <mergeCell ref="Q33:V33"/>
    <mergeCell ref="Q24:V24"/>
    <mergeCell ref="Q25:V25"/>
    <mergeCell ref="Q26:V26"/>
    <mergeCell ref="Q27:V27"/>
    <mergeCell ref="Q28:V28"/>
    <mergeCell ref="Q19:V19"/>
    <mergeCell ref="Q20:V20"/>
    <mergeCell ref="Q21:V21"/>
    <mergeCell ref="Q22:V22"/>
    <mergeCell ref="Q23:V23"/>
    <mergeCell ref="M43:P43"/>
    <mergeCell ref="M44:P44"/>
    <mergeCell ref="M45:P45"/>
    <mergeCell ref="M46:P46"/>
    <mergeCell ref="M47:P47"/>
    <mergeCell ref="M38:P38"/>
    <mergeCell ref="M39:P39"/>
    <mergeCell ref="M40:P40"/>
    <mergeCell ref="M41:P41"/>
    <mergeCell ref="M42:P42"/>
    <mergeCell ref="M33:P33"/>
    <mergeCell ref="M34:P34"/>
    <mergeCell ref="M35:P35"/>
    <mergeCell ref="M36:P36"/>
    <mergeCell ref="M37:P37"/>
    <mergeCell ref="M28:P28"/>
    <mergeCell ref="M29:P29"/>
    <mergeCell ref="M30:P30"/>
    <mergeCell ref="M31:P31"/>
    <mergeCell ref="M32:P32"/>
    <mergeCell ref="M23:P23"/>
    <mergeCell ref="M24:P24"/>
    <mergeCell ref="M25:P25"/>
    <mergeCell ref="M26:P26"/>
    <mergeCell ref="M27:P27"/>
    <mergeCell ref="I81:L81"/>
    <mergeCell ref="I82:L82"/>
    <mergeCell ref="M9:P9"/>
    <mergeCell ref="M10:P10"/>
    <mergeCell ref="M11:P11"/>
    <mergeCell ref="M12:P12"/>
    <mergeCell ref="M13:P13"/>
    <mergeCell ref="M14:P14"/>
    <mergeCell ref="M15:P15"/>
    <mergeCell ref="M16:P16"/>
    <mergeCell ref="M17:P17"/>
    <mergeCell ref="M18:P18"/>
    <mergeCell ref="M19:P19"/>
    <mergeCell ref="M20:P20"/>
    <mergeCell ref="M21:P21"/>
    <mergeCell ref="M22:P22"/>
    <mergeCell ref="I76:L76"/>
    <mergeCell ref="I77:L77"/>
    <mergeCell ref="I78:L78"/>
    <mergeCell ref="I79:L79"/>
    <mergeCell ref="I80:L80"/>
    <mergeCell ref="I71:L71"/>
    <mergeCell ref="I72:L72"/>
    <mergeCell ref="I73:L73"/>
    <mergeCell ref="I74:L74"/>
    <mergeCell ref="I75:L75"/>
    <mergeCell ref="I66:L66"/>
    <mergeCell ref="I67:L67"/>
    <mergeCell ref="I68:L68"/>
    <mergeCell ref="I69:L69"/>
    <mergeCell ref="I70:L70"/>
    <mergeCell ref="I61:L61"/>
    <mergeCell ref="I62:L62"/>
    <mergeCell ref="I63:L63"/>
    <mergeCell ref="I64:L64"/>
    <mergeCell ref="I65:L65"/>
    <mergeCell ref="I56:L56"/>
    <mergeCell ref="I57:L57"/>
    <mergeCell ref="I58:L58"/>
    <mergeCell ref="I59:L59"/>
    <mergeCell ref="I60:L60"/>
    <mergeCell ref="I51:L51"/>
    <mergeCell ref="I52:L52"/>
    <mergeCell ref="I53:L53"/>
    <mergeCell ref="I54:L54"/>
    <mergeCell ref="I55:L55"/>
    <mergeCell ref="I46:L46"/>
    <mergeCell ref="I47:L47"/>
    <mergeCell ref="I48:L48"/>
    <mergeCell ref="I49:L49"/>
    <mergeCell ref="I50:L50"/>
    <mergeCell ref="I28:L28"/>
    <mergeCell ref="I29:L29"/>
    <mergeCell ref="I30:L30"/>
    <mergeCell ref="I41:L41"/>
    <mergeCell ref="I42:L42"/>
    <mergeCell ref="I43:L43"/>
    <mergeCell ref="I44:L44"/>
    <mergeCell ref="I45:L45"/>
    <mergeCell ref="I36:L36"/>
    <mergeCell ref="I37:L37"/>
    <mergeCell ref="I38:L38"/>
    <mergeCell ref="I39:L39"/>
    <mergeCell ref="I40:L40"/>
    <mergeCell ref="B34:H34"/>
    <mergeCell ref="B35:H35"/>
    <mergeCell ref="B36:H36"/>
    <mergeCell ref="B37:H37"/>
    <mergeCell ref="I31:L31"/>
    <mergeCell ref="I32:L32"/>
    <mergeCell ref="I33:L33"/>
    <mergeCell ref="I34:L34"/>
    <mergeCell ref="I35:L35"/>
    <mergeCell ref="I19:L19"/>
    <mergeCell ref="I20:L20"/>
    <mergeCell ref="B29:H29"/>
    <mergeCell ref="B30:H30"/>
    <mergeCell ref="B31:H31"/>
    <mergeCell ref="B32:H32"/>
    <mergeCell ref="B33:H33"/>
    <mergeCell ref="B24:H24"/>
    <mergeCell ref="B25:H25"/>
    <mergeCell ref="B26:H26"/>
    <mergeCell ref="B27:H27"/>
    <mergeCell ref="B28:H28"/>
    <mergeCell ref="B19:H19"/>
    <mergeCell ref="B20:H20"/>
    <mergeCell ref="B21:H21"/>
    <mergeCell ref="B22:H22"/>
    <mergeCell ref="B23:H23"/>
    <mergeCell ref="I21:L21"/>
    <mergeCell ref="I22:L22"/>
    <mergeCell ref="I23:L23"/>
    <mergeCell ref="I24:L24"/>
    <mergeCell ref="I25:L25"/>
    <mergeCell ref="I26:L26"/>
    <mergeCell ref="I27:L27"/>
    <mergeCell ref="B7:Z7"/>
    <mergeCell ref="Q18:Z1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I18:L18"/>
    <mergeCell ref="I9:L9"/>
    <mergeCell ref="I10:L10"/>
    <mergeCell ref="I11:L11"/>
    <mergeCell ref="I12:L12"/>
    <mergeCell ref="I13:L13"/>
    <mergeCell ref="I14:L14"/>
    <mergeCell ref="I15:L15"/>
    <mergeCell ref="I16:L16"/>
    <mergeCell ref="I17:L17"/>
  </mergeCells>
  <hyperlinks>
    <hyperlink ref="F1:N1" location="model!A1" display="model!A1" xr:uid="{395A79D4-665E-4DBD-A18F-CDAB8BB73361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6"/>
  <sheetViews>
    <sheetView workbookViewId="0">
      <selection activeCell="F1" sqref="F1:N1"/>
    </sheetView>
  </sheetViews>
  <sheetFormatPr defaultColWidth="4.140625" defaultRowHeight="15.75" x14ac:dyDescent="0.25"/>
  <cols>
    <col min="1" max="1" width="2.7109375" style="5" customWidth="1"/>
    <col min="2" max="16384" width="4.140625" style="5"/>
  </cols>
  <sheetData>
    <row r="1" spans="1:26" ht="21" customHeight="1" x14ac:dyDescent="0.3">
      <c r="A1" s="4"/>
      <c r="B1" s="12"/>
      <c r="C1" s="13"/>
      <c r="D1" s="13"/>
      <c r="E1" s="13"/>
      <c r="F1" s="87" t="str">
        <f>model!F1</f>
        <v>SERESLER BİLİRKİŞİLİK</v>
      </c>
      <c r="G1" s="87"/>
      <c r="H1" s="87"/>
      <c r="I1" s="87"/>
      <c r="J1" s="87"/>
      <c r="K1" s="87"/>
      <c r="L1" s="87"/>
      <c r="M1" s="87"/>
      <c r="N1" s="87"/>
      <c r="O1" s="19" t="s">
        <v>120</v>
      </c>
      <c r="P1" s="20"/>
      <c r="Q1" s="21"/>
      <c r="R1" s="22" t="str">
        <f>[1]Tanım!$C$9</f>
        <v>TRF.06.AC.E.25..012.</v>
      </c>
      <c r="S1" s="22"/>
      <c r="T1" s="22"/>
      <c r="U1" s="23" t="s">
        <v>121</v>
      </c>
      <c r="V1" s="23"/>
      <c r="W1" s="23"/>
      <c r="X1" s="24" t="str">
        <f>[1]Tanım!$C$12</f>
        <v>Alınmadı</v>
      </c>
      <c r="Y1" s="25"/>
      <c r="Z1" s="26"/>
    </row>
    <row r="2" spans="1:26" ht="15" customHeight="1" x14ac:dyDescent="0.25">
      <c r="A2" s="4"/>
      <c r="B2" s="14"/>
      <c r="C2" s="15"/>
      <c r="D2" s="15"/>
      <c r="E2" s="15"/>
      <c r="F2" s="27" t="str">
        <f>[1]Giriş!$J$4</f>
        <v>BİLİRKİŞİ RAPORUDUR</v>
      </c>
      <c r="G2" s="28"/>
      <c r="H2" s="28"/>
      <c r="I2" s="28"/>
      <c r="J2" s="28"/>
      <c r="K2" s="28"/>
      <c r="L2" s="28"/>
      <c r="M2" s="28"/>
      <c r="N2" s="29"/>
      <c r="O2" s="33" t="s">
        <v>122</v>
      </c>
      <c r="P2" s="34"/>
      <c r="Q2" s="35"/>
      <c r="R2" s="6">
        <v>1</v>
      </c>
      <c r="S2" s="6" t="s">
        <v>135</v>
      </c>
      <c r="T2" s="6">
        <v>1</v>
      </c>
      <c r="U2" s="36" t="s">
        <v>123</v>
      </c>
      <c r="V2" s="36"/>
      <c r="W2" s="36"/>
      <c r="X2" s="37">
        <f ca="1">TODAY()</f>
        <v>46299</v>
      </c>
      <c r="Y2" s="38"/>
      <c r="Z2" s="39"/>
    </row>
    <row r="3" spans="1:26" ht="15" customHeight="1" x14ac:dyDescent="0.25">
      <c r="A3" s="4"/>
      <c r="B3" s="14"/>
      <c r="C3" s="15"/>
      <c r="D3" s="15"/>
      <c r="E3" s="15"/>
      <c r="F3" s="30"/>
      <c r="G3" s="31"/>
      <c r="H3" s="31"/>
      <c r="I3" s="31"/>
      <c r="J3" s="31"/>
      <c r="K3" s="31"/>
      <c r="L3" s="31"/>
      <c r="M3" s="31"/>
      <c r="N3" s="32"/>
      <c r="O3" s="33" t="s">
        <v>124</v>
      </c>
      <c r="P3" s="34"/>
      <c r="Q3" s="35"/>
      <c r="R3" s="40">
        <f>[1]Tanım!$C$11</f>
        <v>45710</v>
      </c>
      <c r="S3" s="40"/>
      <c r="T3" s="40"/>
      <c r="U3" s="36" t="s">
        <v>125</v>
      </c>
      <c r="V3" s="36"/>
      <c r="W3" s="36"/>
      <c r="X3" s="41">
        <f ca="1">YEAR(X2)</f>
        <v>2026</v>
      </c>
      <c r="Y3" s="42"/>
      <c r="Z3" s="43"/>
    </row>
    <row r="4" spans="1:26" ht="15.75" customHeight="1" x14ac:dyDescent="0.25">
      <c r="A4" s="2"/>
      <c r="B4" s="63" t="s">
        <v>126</v>
      </c>
      <c r="C4" s="64"/>
      <c r="D4" s="65"/>
      <c r="E4" s="66" t="s">
        <v>127</v>
      </c>
      <c r="F4" s="67"/>
      <c r="G4" s="67"/>
      <c r="H4" s="67"/>
      <c r="I4" s="67"/>
      <c r="J4" s="67"/>
      <c r="K4" s="68"/>
      <c r="L4" s="69" t="s">
        <v>128</v>
      </c>
      <c r="M4" s="69"/>
      <c r="N4" s="69"/>
      <c r="O4" s="70" t="s">
        <v>129</v>
      </c>
      <c r="P4" s="71"/>
      <c r="Q4" s="72"/>
      <c r="R4" s="73" t="str">
        <f>[1]Tanım!$C$15</f>
        <v>24/01.</v>
      </c>
      <c r="S4" s="73"/>
      <c r="T4" s="73"/>
      <c r="U4" s="36" t="s">
        <v>130</v>
      </c>
      <c r="V4" s="36"/>
      <c r="W4" s="36"/>
      <c r="X4" s="44"/>
      <c r="Y4" s="45"/>
      <c r="Z4" s="46"/>
    </row>
    <row r="5" spans="1:26" ht="16.5" customHeight="1" thickBot="1" x14ac:dyDescent="0.3">
      <c r="A5" s="3"/>
      <c r="B5" s="47" t="s">
        <v>131</v>
      </c>
      <c r="C5" s="48"/>
      <c r="D5" s="49"/>
      <c r="E5" s="50" t="str">
        <f>[1]Tanım!$C$6</f>
        <v>Yaralamalı Maddi Hasarlı Trafik kazası</v>
      </c>
      <c r="F5" s="51"/>
      <c r="G5" s="51"/>
      <c r="H5" s="51"/>
      <c r="I5" s="51"/>
      <c r="J5" s="51"/>
      <c r="K5" s="52"/>
      <c r="L5" s="53" t="s">
        <v>132</v>
      </c>
      <c r="M5" s="54"/>
      <c r="N5" s="54"/>
      <c r="O5" s="55" t="s">
        <v>133</v>
      </c>
      <c r="P5" s="55"/>
      <c r="Q5" s="55"/>
      <c r="R5" s="56">
        <f>[1]Tanım!$C$16</f>
        <v>45700</v>
      </c>
      <c r="S5" s="57"/>
      <c r="T5" s="58"/>
      <c r="U5" s="59" t="s">
        <v>134</v>
      </c>
      <c r="V5" s="59"/>
      <c r="W5" s="59"/>
      <c r="X5" s="60"/>
      <c r="Y5" s="61"/>
      <c r="Z5" s="62"/>
    </row>
    <row r="6" spans="1:26" ht="16.5" customHeight="1" x14ac:dyDescent="0.25">
      <c r="B6" s="76" t="s">
        <v>74</v>
      </c>
      <c r="C6" s="76"/>
      <c r="D6" s="76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5.25" customHeight="1" x14ac:dyDescent="0.25"/>
    <row r="8" spans="1:26" x14ac:dyDescent="0.25">
      <c r="B8" s="90" t="s">
        <v>75</v>
      </c>
      <c r="C8" s="90"/>
      <c r="D8" s="90"/>
      <c r="E8" s="90" t="s">
        <v>76</v>
      </c>
      <c r="F8" s="90"/>
      <c r="G8" s="90"/>
      <c r="H8" s="90"/>
      <c r="I8" s="90" t="s">
        <v>77</v>
      </c>
      <c r="J8" s="90"/>
      <c r="K8" s="90"/>
      <c r="L8" s="90"/>
      <c r="M8" s="90"/>
      <c r="N8" s="90" t="s">
        <v>12</v>
      </c>
      <c r="O8" s="90"/>
      <c r="P8" s="90"/>
      <c r="R8" s="104" t="s">
        <v>78</v>
      </c>
      <c r="S8" s="104"/>
      <c r="T8" s="104"/>
      <c r="U8" s="104"/>
      <c r="V8" s="104"/>
      <c r="W8" s="107">
        <f>Hesap!W21</f>
        <v>1.9117995035680926</v>
      </c>
      <c r="X8" s="107"/>
      <c r="Y8" s="107"/>
      <c r="Z8" s="108"/>
    </row>
    <row r="9" spans="1:26" x14ac:dyDescent="0.25">
      <c r="B9" s="95" t="s">
        <v>79</v>
      </c>
      <c r="C9" s="95"/>
      <c r="D9" s="95"/>
      <c r="E9" s="92" t="s">
        <v>80</v>
      </c>
      <c r="F9" s="92"/>
      <c r="G9" s="92"/>
      <c r="H9" s="92"/>
      <c r="I9" s="95">
        <v>0.1</v>
      </c>
      <c r="J9" s="95"/>
      <c r="K9" s="95"/>
      <c r="L9" s="95"/>
      <c r="M9" s="95"/>
      <c r="N9" s="95" t="s">
        <v>81</v>
      </c>
      <c r="O9" s="95"/>
      <c r="P9" s="95"/>
      <c r="R9" s="92" t="s">
        <v>76</v>
      </c>
      <c r="S9" s="92"/>
      <c r="T9" s="92"/>
      <c r="U9" s="92"/>
      <c r="V9" s="92"/>
      <c r="W9" s="97" t="str">
        <f>IF(W8&lt;5,"Tam körlük",IF(W8&lt;10,"Çok yüksek",IF(W8&lt;20,"Yüksek",IF(W8&lt;45,"Orta","Düşük/önemsiz"))))</f>
        <v>Tam körlük</v>
      </c>
      <c r="X9" s="97"/>
      <c r="Y9" s="97"/>
      <c r="Z9" s="106"/>
    </row>
    <row r="10" spans="1:26" x14ac:dyDescent="0.25">
      <c r="B10" s="95" t="s">
        <v>82</v>
      </c>
      <c r="C10" s="95"/>
      <c r="D10" s="95"/>
      <c r="E10" s="92" t="s">
        <v>83</v>
      </c>
      <c r="F10" s="92"/>
      <c r="G10" s="92"/>
      <c r="H10" s="92"/>
      <c r="I10" s="95">
        <v>0.4</v>
      </c>
      <c r="J10" s="95"/>
      <c r="K10" s="95"/>
      <c r="L10" s="95"/>
      <c r="M10" s="95"/>
      <c r="N10" s="95" t="s">
        <v>84</v>
      </c>
      <c r="O10" s="95"/>
      <c r="P10" s="95"/>
      <c r="R10" s="92" t="s">
        <v>85</v>
      </c>
      <c r="S10" s="92"/>
      <c r="T10" s="92"/>
      <c r="U10" s="92"/>
      <c r="V10" s="92"/>
      <c r="W10" s="97">
        <f>IF(W8&lt;5,0.1,IF(W8&lt;10,0.4,IF(W8&lt;20,0.6,IF(W8&lt;45,0.8,1))))</f>
        <v>0.1</v>
      </c>
      <c r="X10" s="97"/>
      <c r="Y10" s="97"/>
      <c r="Z10" s="106"/>
    </row>
    <row r="11" spans="1:26" x14ac:dyDescent="0.25">
      <c r="B11" s="95" t="s">
        <v>86</v>
      </c>
      <c r="C11" s="95"/>
      <c r="D11" s="95"/>
      <c r="E11" s="92" t="s">
        <v>87</v>
      </c>
      <c r="F11" s="92"/>
      <c r="G11" s="92"/>
      <c r="H11" s="92"/>
      <c r="I11" s="95">
        <v>0.6</v>
      </c>
      <c r="J11" s="95"/>
      <c r="K11" s="95"/>
      <c r="L11" s="95"/>
      <c r="M11" s="95"/>
      <c r="N11" s="95" t="s">
        <v>88</v>
      </c>
      <c r="O11" s="95"/>
      <c r="P11" s="95"/>
      <c r="R11" s="91"/>
      <c r="S11" s="91"/>
      <c r="T11" s="91"/>
      <c r="U11" s="91"/>
      <c r="V11" s="91"/>
      <c r="W11" s="98"/>
      <c r="X11" s="98"/>
      <c r="Y11" s="98"/>
      <c r="Z11" s="105"/>
    </row>
    <row r="12" spans="1:26" x14ac:dyDescent="0.25">
      <c r="B12" s="95" t="s">
        <v>89</v>
      </c>
      <c r="C12" s="95"/>
      <c r="D12" s="95"/>
      <c r="E12" s="92" t="s">
        <v>90</v>
      </c>
      <c r="F12" s="92"/>
      <c r="G12" s="92"/>
      <c r="H12" s="92"/>
      <c r="I12" s="95">
        <v>0.8</v>
      </c>
      <c r="J12" s="95"/>
      <c r="K12" s="95"/>
      <c r="L12" s="95"/>
      <c r="M12" s="95"/>
      <c r="N12" s="95" t="s">
        <v>91</v>
      </c>
      <c r="O12" s="95"/>
      <c r="P12" s="95"/>
      <c r="R12" s="92" t="s">
        <v>28</v>
      </c>
      <c r="S12" s="92"/>
      <c r="T12" s="92"/>
      <c r="U12" s="92"/>
      <c r="V12" s="92"/>
      <c r="W12" s="97">
        <f>VALUE(Vaka_Girişi!I17)</f>
        <v>50</v>
      </c>
      <c r="X12" s="97"/>
      <c r="Y12" s="97"/>
      <c r="Z12" s="106"/>
    </row>
    <row r="13" spans="1:26" x14ac:dyDescent="0.25">
      <c r="B13" s="95" t="s">
        <v>92</v>
      </c>
      <c r="C13" s="95"/>
      <c r="D13" s="95"/>
      <c r="E13" s="92" t="s">
        <v>93</v>
      </c>
      <c r="F13" s="92"/>
      <c r="G13" s="92"/>
      <c r="H13" s="92"/>
      <c r="I13" s="95">
        <v>1</v>
      </c>
      <c r="J13" s="95"/>
      <c r="K13" s="95"/>
      <c r="L13" s="95"/>
      <c r="M13" s="95"/>
      <c r="N13" s="95" t="s">
        <v>94</v>
      </c>
      <c r="O13" s="95"/>
      <c r="P13" s="95"/>
      <c r="R13" s="92" t="s">
        <v>95</v>
      </c>
      <c r="S13" s="92"/>
      <c r="T13" s="92"/>
      <c r="U13" s="92"/>
      <c r="V13" s="92"/>
      <c r="W13" s="97">
        <f>VALUE(Vaka_Girişi!I18)</f>
        <v>46143</v>
      </c>
      <c r="X13" s="97"/>
      <c r="Y13" s="97"/>
      <c r="Z13" s="106"/>
    </row>
    <row r="14" spans="1:26" ht="50.1" customHeight="1" x14ac:dyDescent="0.25">
      <c r="B14" s="102" t="s">
        <v>96</v>
      </c>
      <c r="C14" s="102"/>
      <c r="D14" s="102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R14" s="103" t="s">
        <v>97</v>
      </c>
      <c r="S14" s="103"/>
      <c r="T14" s="103"/>
      <c r="U14" s="103"/>
      <c r="V14" s="103"/>
      <c r="W14" s="109">
        <f>W12/3.6*W13</f>
        <v>640875</v>
      </c>
      <c r="X14" s="109"/>
      <c r="Y14" s="109"/>
      <c r="Z14" s="110"/>
    </row>
    <row r="15" spans="1:26" ht="32.25" customHeight="1" x14ac:dyDescent="0.25"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R15" s="103" t="s">
        <v>98</v>
      </c>
      <c r="S15" s="103"/>
      <c r="T15" s="103"/>
      <c r="U15" s="103"/>
      <c r="V15" s="103"/>
      <c r="W15" s="109">
        <f>W14/W10</f>
        <v>6408750</v>
      </c>
      <c r="X15" s="109"/>
      <c r="Y15" s="109"/>
      <c r="Z15" s="110"/>
    </row>
    <row r="16" spans="1:26" ht="32.25" customHeight="1" x14ac:dyDescent="0.25"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R16" s="103" t="s">
        <v>99</v>
      </c>
      <c r="S16" s="103"/>
      <c r="T16" s="103"/>
      <c r="U16" s="103"/>
      <c r="V16" s="103"/>
      <c r="W16" s="109">
        <f>1/W10</f>
        <v>10</v>
      </c>
      <c r="X16" s="109"/>
      <c r="Y16" s="109"/>
      <c r="Z16" s="110"/>
    </row>
  </sheetData>
  <mergeCells count="72">
    <mergeCell ref="U4:W4"/>
    <mergeCell ref="X4:Z4"/>
    <mergeCell ref="B5:D5"/>
    <mergeCell ref="E5:K5"/>
    <mergeCell ref="O5:Q5"/>
    <mergeCell ref="R5:T5"/>
    <mergeCell ref="U5:W5"/>
    <mergeCell ref="X5:Z5"/>
    <mergeCell ref="L5:N5"/>
    <mergeCell ref="U1:W1"/>
    <mergeCell ref="X1:Z1"/>
    <mergeCell ref="F2:N3"/>
    <mergeCell ref="O2:Q2"/>
    <mergeCell ref="U2:W2"/>
    <mergeCell ref="X2:Z2"/>
    <mergeCell ref="O3:Q3"/>
    <mergeCell ref="R3:T3"/>
    <mergeCell ref="U3:W3"/>
    <mergeCell ref="X3:Z3"/>
    <mergeCell ref="B1:E3"/>
    <mergeCell ref="F1:N1"/>
    <mergeCell ref="O1:Q1"/>
    <mergeCell ref="R1:T1"/>
    <mergeCell ref="B4:D4"/>
    <mergeCell ref="E4:K4"/>
    <mergeCell ref="O4:Q4"/>
    <mergeCell ref="R4:T4"/>
    <mergeCell ref="L4:N4"/>
    <mergeCell ref="W11:Z11"/>
    <mergeCell ref="W10:Z10"/>
    <mergeCell ref="W9:Z9"/>
    <mergeCell ref="W8:Z8"/>
    <mergeCell ref="W16:Z16"/>
    <mergeCell ref="W15:Z15"/>
    <mergeCell ref="W14:Z14"/>
    <mergeCell ref="W13:Z13"/>
    <mergeCell ref="W12:Z12"/>
    <mergeCell ref="R13:V13"/>
    <mergeCell ref="R14:V14"/>
    <mergeCell ref="R15:V15"/>
    <mergeCell ref="R16:V16"/>
    <mergeCell ref="R8:V8"/>
    <mergeCell ref="R9:V9"/>
    <mergeCell ref="R10:V10"/>
    <mergeCell ref="R11:V11"/>
    <mergeCell ref="R12:V12"/>
    <mergeCell ref="I10:M10"/>
    <mergeCell ref="I11:M11"/>
    <mergeCell ref="I12:M12"/>
    <mergeCell ref="I13:M13"/>
    <mergeCell ref="N8:P8"/>
    <mergeCell ref="N9:P9"/>
    <mergeCell ref="N10:P10"/>
    <mergeCell ref="N11:P11"/>
    <mergeCell ref="N12:P12"/>
    <mergeCell ref="N13:P13"/>
    <mergeCell ref="B6:Z6"/>
    <mergeCell ref="B14:P16"/>
    <mergeCell ref="B8:D8"/>
    <mergeCell ref="B9:D9"/>
    <mergeCell ref="B10:D10"/>
    <mergeCell ref="B11:D11"/>
    <mergeCell ref="B12:D12"/>
    <mergeCell ref="B13:D13"/>
    <mergeCell ref="E8:H8"/>
    <mergeCell ref="E9:H9"/>
    <mergeCell ref="E10:H10"/>
    <mergeCell ref="E11:H11"/>
    <mergeCell ref="E12:H12"/>
    <mergeCell ref="E13:H13"/>
    <mergeCell ref="I8:M8"/>
    <mergeCell ref="I9:M9"/>
  </mergeCells>
  <hyperlinks>
    <hyperlink ref="F1:N1" location="model!A1" display="model!A1" xr:uid="{838C72B4-8267-4BA7-9C5D-616CA2B938A3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Z21"/>
  <sheetViews>
    <sheetView workbookViewId="0">
      <pane ySplit="8" topLeftCell="A9" activePane="bottomLeft" state="frozen"/>
      <selection activeCell="F1" sqref="F1:N1"/>
      <selection pane="bottomLeft" activeCell="F1" sqref="F1:N1"/>
    </sheetView>
  </sheetViews>
  <sheetFormatPr defaultColWidth="3.42578125" defaultRowHeight="15" x14ac:dyDescent="0.25"/>
  <sheetData>
    <row r="1" spans="2:26" ht="16.5" customHeight="1" x14ac:dyDescent="0.3">
      <c r="B1" s="139"/>
      <c r="C1" s="140"/>
      <c r="D1" s="140"/>
      <c r="E1" s="140"/>
      <c r="F1" s="87" t="str">
        <f>model!F1</f>
        <v>SERESLER BİLİRKİŞİLİK</v>
      </c>
      <c r="G1" s="87"/>
      <c r="H1" s="87"/>
      <c r="I1" s="87"/>
      <c r="J1" s="87"/>
      <c r="K1" s="87"/>
      <c r="L1" s="87"/>
      <c r="M1" s="87"/>
      <c r="N1" s="87"/>
      <c r="O1" s="143" t="s">
        <v>120</v>
      </c>
      <c r="P1" s="144"/>
      <c r="Q1" s="145"/>
      <c r="R1" s="146" t="str">
        <f>[1]Tanım!$C$9</f>
        <v>TRF.06.AC.E.25..012.</v>
      </c>
      <c r="S1" s="146"/>
      <c r="T1" s="146"/>
      <c r="U1" s="147" t="s">
        <v>121</v>
      </c>
      <c r="V1" s="147"/>
      <c r="W1" s="147"/>
      <c r="X1" s="148" t="str">
        <f>[1]Tanım!$C$12</f>
        <v>Alınmadı</v>
      </c>
      <c r="Y1" s="149"/>
      <c r="Z1" s="150"/>
    </row>
    <row r="2" spans="2:26" x14ac:dyDescent="0.25">
      <c r="B2" s="141"/>
      <c r="C2" s="142"/>
      <c r="D2" s="142"/>
      <c r="E2" s="142"/>
      <c r="F2" s="27" t="str">
        <f>[1]Giriş!$J$4</f>
        <v>BİLİRKİŞİ RAPORUDUR</v>
      </c>
      <c r="G2" s="28"/>
      <c r="H2" s="28"/>
      <c r="I2" s="28"/>
      <c r="J2" s="28"/>
      <c r="K2" s="28"/>
      <c r="L2" s="28"/>
      <c r="M2" s="28"/>
      <c r="N2" s="29"/>
      <c r="O2" s="121" t="s">
        <v>122</v>
      </c>
      <c r="P2" s="122"/>
      <c r="Q2" s="123"/>
      <c r="R2" s="1">
        <v>1</v>
      </c>
      <c r="S2" s="1" t="s">
        <v>135</v>
      </c>
      <c r="T2" s="1">
        <v>1</v>
      </c>
      <c r="U2" s="117" t="s">
        <v>123</v>
      </c>
      <c r="V2" s="117"/>
      <c r="W2" s="117"/>
      <c r="X2" s="118">
        <f ca="1">TODAY()</f>
        <v>46299</v>
      </c>
      <c r="Y2" s="119"/>
      <c r="Z2" s="120"/>
    </row>
    <row r="3" spans="2:26" x14ac:dyDescent="0.25">
      <c r="B3" s="141"/>
      <c r="C3" s="142"/>
      <c r="D3" s="142"/>
      <c r="E3" s="142"/>
      <c r="F3" s="30"/>
      <c r="G3" s="31"/>
      <c r="H3" s="31"/>
      <c r="I3" s="31"/>
      <c r="J3" s="31"/>
      <c r="K3" s="31"/>
      <c r="L3" s="31"/>
      <c r="M3" s="31"/>
      <c r="N3" s="32"/>
      <c r="O3" s="121" t="s">
        <v>124</v>
      </c>
      <c r="P3" s="122"/>
      <c r="Q3" s="123"/>
      <c r="R3" s="124">
        <f>[1]Tanım!$C$11</f>
        <v>45710</v>
      </c>
      <c r="S3" s="124"/>
      <c r="T3" s="124"/>
      <c r="U3" s="117" t="s">
        <v>125</v>
      </c>
      <c r="V3" s="117"/>
      <c r="W3" s="117"/>
      <c r="X3" s="125">
        <f ca="1">YEAR(X2)</f>
        <v>2026</v>
      </c>
      <c r="Y3" s="126"/>
      <c r="Z3" s="127"/>
    </row>
    <row r="4" spans="2:26" ht="15.75" x14ac:dyDescent="0.25">
      <c r="B4" s="128" t="s">
        <v>126</v>
      </c>
      <c r="C4" s="129"/>
      <c r="D4" s="130"/>
      <c r="E4" s="66" t="s">
        <v>127</v>
      </c>
      <c r="F4" s="67"/>
      <c r="G4" s="67"/>
      <c r="H4" s="67"/>
      <c r="I4" s="67"/>
      <c r="J4" s="67"/>
      <c r="K4" s="68"/>
      <c r="L4" s="131" t="s">
        <v>128</v>
      </c>
      <c r="M4" s="131"/>
      <c r="N4" s="131"/>
      <c r="O4" s="132" t="s">
        <v>129</v>
      </c>
      <c r="P4" s="133"/>
      <c r="Q4" s="134"/>
      <c r="R4" s="135" t="str">
        <f>[1]Tanım!$C$15</f>
        <v>24/01.</v>
      </c>
      <c r="S4" s="135"/>
      <c r="T4" s="135"/>
      <c r="U4" s="117" t="s">
        <v>130</v>
      </c>
      <c r="V4" s="117"/>
      <c r="W4" s="117"/>
      <c r="X4" s="136"/>
      <c r="Y4" s="137"/>
      <c r="Z4" s="138"/>
    </row>
    <row r="5" spans="2:26" ht="16.5" thickBot="1" x14ac:dyDescent="0.3">
      <c r="B5" s="155" t="s">
        <v>131</v>
      </c>
      <c r="C5" s="156"/>
      <c r="D5" s="157"/>
      <c r="E5" s="50" t="str">
        <f>[1]Tanım!$C$6</f>
        <v>Yaralamalı Maddi Hasarlı Trafik kazası</v>
      </c>
      <c r="F5" s="51"/>
      <c r="G5" s="51"/>
      <c r="H5" s="51"/>
      <c r="I5" s="51"/>
      <c r="J5" s="51"/>
      <c r="K5" s="52"/>
      <c r="L5" s="158" t="s">
        <v>132</v>
      </c>
      <c r="M5" s="159"/>
      <c r="N5" s="159"/>
      <c r="O5" s="160" t="s">
        <v>133</v>
      </c>
      <c r="P5" s="160"/>
      <c r="Q5" s="160"/>
      <c r="R5" s="161">
        <f>[1]Tanım!$C$16</f>
        <v>45700</v>
      </c>
      <c r="S5" s="162"/>
      <c r="T5" s="163"/>
      <c r="U5" s="151" t="s">
        <v>134</v>
      </c>
      <c r="V5" s="151"/>
      <c r="W5" s="151"/>
      <c r="X5" s="152"/>
      <c r="Y5" s="153"/>
      <c r="Z5" s="154"/>
    </row>
    <row r="6" spans="2:26" ht="15.75" x14ac:dyDescent="0.25">
      <c r="B6" s="113" t="s">
        <v>100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spans="2:26" x14ac:dyDescent="0.25">
      <c r="B7" s="111"/>
      <c r="C7" s="111"/>
      <c r="D7" s="111"/>
      <c r="E7" s="111"/>
      <c r="F7" s="111"/>
      <c r="G7" s="111"/>
      <c r="H7" s="111"/>
      <c r="I7" s="111"/>
      <c r="J7" s="111"/>
      <c r="K7" s="111"/>
    </row>
    <row r="8" spans="2:26" x14ac:dyDescent="0.25">
      <c r="B8" s="116" t="s">
        <v>10</v>
      </c>
      <c r="C8" s="116"/>
      <c r="D8" s="116"/>
      <c r="E8" s="116"/>
      <c r="F8" s="116"/>
      <c r="G8" s="116"/>
      <c r="H8" s="116"/>
      <c r="I8" s="116"/>
      <c r="J8" s="116"/>
      <c r="K8" s="116"/>
      <c r="L8" s="116" t="s">
        <v>11</v>
      </c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spans="2:26" x14ac:dyDescent="0.25">
      <c r="B9" s="112" t="s">
        <v>13</v>
      </c>
      <c r="C9" s="112"/>
      <c r="D9" s="112"/>
      <c r="E9" s="112"/>
      <c r="F9" s="112"/>
      <c r="G9" s="112"/>
      <c r="H9" s="112"/>
      <c r="I9" s="112"/>
      <c r="J9" s="112"/>
      <c r="K9" s="112"/>
      <c r="L9" s="112" t="str">
        <f>Vaka_Girişi!I10</f>
        <v>V-001</v>
      </c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2:26" x14ac:dyDescent="0.25">
      <c r="B10" s="112" t="s">
        <v>101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 t="str">
        <f>Vaka_Girişi!I11</f>
        <v>2026-02-16 12:00</v>
      </c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2:26" x14ac:dyDescent="0.25">
      <c r="B11" s="112" t="s">
        <v>102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 t="str">
        <f>Vaka_Girişi!I13&amp;" / "&amp;Vaka_Girişi!I14</f>
        <v>41.0082 / 28.9784</v>
      </c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2:26" x14ac:dyDescent="0.25">
      <c r="B12" s="112" t="s">
        <v>103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 t="str">
        <f>Vaka_Girişi!I15</f>
        <v>90</v>
      </c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2:26" x14ac:dyDescent="0.25">
      <c r="B13" s="112" t="s">
        <v>104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>
        <f>Hesap!W19</f>
        <v>2.5387655330712082</v>
      </c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2:26" x14ac:dyDescent="0.25">
      <c r="B14" s="112" t="s">
        <v>105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>
        <f>Hesap!W20</f>
        <v>-289465.44568465988</v>
      </c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2:26" x14ac:dyDescent="0.25">
      <c r="B15" s="112" t="s">
        <v>106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>
        <f>Hesap!W21</f>
        <v>1.9117995035680926</v>
      </c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2:26" x14ac:dyDescent="0.25">
      <c r="B16" s="112" t="s">
        <v>76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 t="str">
        <f>sınıflandırma!W9</f>
        <v>Tam körlük</v>
      </c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2:26" x14ac:dyDescent="0.25">
      <c r="B17" s="112" t="s">
        <v>85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>
        <f>sınıflandırma!W10</f>
        <v>0.1</v>
      </c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2:26" x14ac:dyDescent="0.25">
      <c r="B18" s="112" t="s">
        <v>12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 t="str">
        <f>"NOAA yaklaşık güneş konumu + 3B açı (θ) hesabı. Saha koşulları ayrıca değerlendirilmelidir."</f>
        <v>NOAA yaklaşık güneş konumu + 3B açı (θ) hesabı. Saha koşulları ayrıca değerlendirilmelidir.</v>
      </c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2:26" x14ac:dyDescent="0.25">
      <c r="B19" s="111"/>
      <c r="C19" s="111"/>
      <c r="D19" s="111"/>
      <c r="E19" s="111"/>
      <c r="F19" s="111"/>
      <c r="G19" s="111"/>
      <c r="H19" s="111"/>
      <c r="I19" s="111"/>
      <c r="J19" s="111"/>
      <c r="K19" s="111"/>
    </row>
    <row r="20" spans="2:26" x14ac:dyDescent="0.25">
      <c r="B20" s="114" t="s">
        <v>107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 spans="2:26" ht="46.5" customHeight="1" x14ac:dyDescent="0.25">
      <c r="B21" s="115" t="str">
        <f>"Kaza anında güneş elevasyon "&amp;TEXT(Hesap!W19,"0.0")&amp;"°, azimut "&amp;TEXT(Hesap!W20,"0.0")&amp;"° olup sürücü görüş doğrultusu ile güneş arasındaki 3B açı farkı θ="&amp;TEXT(Hesap!W21,"0.0")&amp;"° hesaplanmıştır. Bu değer "&amp;sınıflandırma!W9&amp;" sınıfında değerlendirilmiştir (K="&amp;TEXT(sınıflandırma!W10,"0.00")&amp;")."</f>
        <v>Kaza anında güneş elevasyon 03°, azimut -289.465° olup sürücü görüş doğrultusu ile güneş arasındaki 3B açı farkı θ=02° hesaplanmıştır. Bu değer Tam körlük sınıfında değerlendirilmiştir (K=000).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</sheetData>
  <mergeCells count="55">
    <mergeCell ref="U5:W5"/>
    <mergeCell ref="X5:Z5"/>
    <mergeCell ref="B5:D5"/>
    <mergeCell ref="E5:K5"/>
    <mergeCell ref="L5:N5"/>
    <mergeCell ref="O5:Q5"/>
    <mergeCell ref="R5:T5"/>
    <mergeCell ref="U4:W4"/>
    <mergeCell ref="X4:Z4"/>
    <mergeCell ref="B1:E3"/>
    <mergeCell ref="F1:N1"/>
    <mergeCell ref="O1:Q1"/>
    <mergeCell ref="R1:T1"/>
    <mergeCell ref="U1:W1"/>
    <mergeCell ref="X1:Z1"/>
    <mergeCell ref="F2:N3"/>
    <mergeCell ref="O2:Q2"/>
    <mergeCell ref="B4:D4"/>
    <mergeCell ref="E4:K4"/>
    <mergeCell ref="L4:N4"/>
    <mergeCell ref="O4:Q4"/>
    <mergeCell ref="R4:T4"/>
    <mergeCell ref="U2:W2"/>
    <mergeCell ref="X2:Z2"/>
    <mergeCell ref="O3:Q3"/>
    <mergeCell ref="R3:T3"/>
    <mergeCell ref="U3:W3"/>
    <mergeCell ref="X3:Z3"/>
    <mergeCell ref="L18:Z18"/>
    <mergeCell ref="B6:Z6"/>
    <mergeCell ref="B20:Z20"/>
    <mergeCell ref="B21:Z21"/>
    <mergeCell ref="L13:Z13"/>
    <mergeCell ref="L14:Z14"/>
    <mergeCell ref="L15:Z15"/>
    <mergeCell ref="L16:Z16"/>
    <mergeCell ref="L17:Z17"/>
    <mergeCell ref="L8:Z8"/>
    <mergeCell ref="L9:Z9"/>
    <mergeCell ref="L10:Z10"/>
    <mergeCell ref="L11:Z11"/>
    <mergeCell ref="L12:Z12"/>
    <mergeCell ref="B7:K7"/>
    <mergeCell ref="B8:K8"/>
    <mergeCell ref="B9:K9"/>
    <mergeCell ref="B10:K10"/>
    <mergeCell ref="B11:K11"/>
    <mergeCell ref="B12:K12"/>
    <mergeCell ref="B13:K13"/>
    <mergeCell ref="B19:K19"/>
    <mergeCell ref="B14:K14"/>
    <mergeCell ref="B15:K15"/>
    <mergeCell ref="B16:K16"/>
    <mergeCell ref="B17:K17"/>
    <mergeCell ref="B18:K18"/>
  </mergeCells>
  <hyperlinks>
    <hyperlink ref="F1:N1" location="model!A1" display="model!A1" xr:uid="{09DD39B7-401F-4C07-8F71-6651E0CB4D73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19"/>
  <sheetViews>
    <sheetView workbookViewId="0">
      <selection activeCell="F1" sqref="F1:N1"/>
    </sheetView>
  </sheetViews>
  <sheetFormatPr defaultColWidth="3.140625" defaultRowHeight="15" x14ac:dyDescent="0.25"/>
  <cols>
    <col min="13" max="13" width="3.140625" customWidth="1"/>
  </cols>
  <sheetData>
    <row r="1" spans="2:26" ht="16.5" customHeight="1" x14ac:dyDescent="0.3">
      <c r="B1" s="139"/>
      <c r="C1" s="140"/>
      <c r="D1" s="140"/>
      <c r="E1" s="140"/>
      <c r="F1" s="87" t="str">
        <f>model!F1</f>
        <v>SERESLER BİLİRKİŞİLİK</v>
      </c>
      <c r="G1" s="87"/>
      <c r="H1" s="87"/>
      <c r="I1" s="87"/>
      <c r="J1" s="87"/>
      <c r="K1" s="87"/>
      <c r="L1" s="87"/>
      <c r="M1" s="87"/>
      <c r="N1" s="87"/>
      <c r="O1" s="143" t="s">
        <v>120</v>
      </c>
      <c r="P1" s="144"/>
      <c r="Q1" s="145"/>
      <c r="R1" s="146" t="str">
        <f>[1]Tanım!$C$9</f>
        <v>TRF.06.AC.E.25..012.</v>
      </c>
      <c r="S1" s="146"/>
      <c r="T1" s="146"/>
      <c r="U1" s="147" t="s">
        <v>121</v>
      </c>
      <c r="V1" s="147"/>
      <c r="W1" s="147"/>
      <c r="X1" s="148" t="str">
        <f>[1]Tanım!$C$12</f>
        <v>Alınmadı</v>
      </c>
      <c r="Y1" s="149"/>
      <c r="Z1" s="150"/>
    </row>
    <row r="2" spans="2:26" ht="15" customHeight="1" x14ac:dyDescent="0.25">
      <c r="B2" s="141"/>
      <c r="C2" s="142"/>
      <c r="D2" s="142"/>
      <c r="E2" s="142"/>
      <c r="F2" s="27" t="str">
        <f>[1]Giriş!$J$4</f>
        <v>BİLİRKİŞİ RAPORUDUR</v>
      </c>
      <c r="G2" s="28"/>
      <c r="H2" s="28"/>
      <c r="I2" s="28"/>
      <c r="J2" s="28"/>
      <c r="K2" s="28"/>
      <c r="L2" s="28"/>
      <c r="M2" s="28"/>
      <c r="N2" s="29"/>
      <c r="O2" s="121" t="s">
        <v>122</v>
      </c>
      <c r="P2" s="122"/>
      <c r="Q2" s="123"/>
      <c r="R2" s="1">
        <v>1</v>
      </c>
      <c r="S2" s="1" t="s">
        <v>135</v>
      </c>
      <c r="T2" s="1">
        <v>1</v>
      </c>
      <c r="U2" s="117" t="s">
        <v>123</v>
      </c>
      <c r="V2" s="117"/>
      <c r="W2" s="117"/>
      <c r="X2" s="118">
        <f ca="1">TODAY()</f>
        <v>46299</v>
      </c>
      <c r="Y2" s="119"/>
      <c r="Z2" s="120"/>
    </row>
    <row r="3" spans="2:26" ht="15" customHeight="1" x14ac:dyDescent="0.25">
      <c r="B3" s="141"/>
      <c r="C3" s="142"/>
      <c r="D3" s="142"/>
      <c r="E3" s="142"/>
      <c r="F3" s="30"/>
      <c r="G3" s="31"/>
      <c r="H3" s="31"/>
      <c r="I3" s="31"/>
      <c r="J3" s="31"/>
      <c r="K3" s="31"/>
      <c r="L3" s="31"/>
      <c r="M3" s="31"/>
      <c r="N3" s="32"/>
      <c r="O3" s="121" t="s">
        <v>124</v>
      </c>
      <c r="P3" s="122"/>
      <c r="Q3" s="123"/>
      <c r="R3" s="124">
        <f>[1]Tanım!$C$11</f>
        <v>45710</v>
      </c>
      <c r="S3" s="124"/>
      <c r="T3" s="124"/>
      <c r="U3" s="117" t="s">
        <v>125</v>
      </c>
      <c r="V3" s="117"/>
      <c r="W3" s="117"/>
      <c r="X3" s="125">
        <f ca="1">YEAR(X2)</f>
        <v>2026</v>
      </c>
      <c r="Y3" s="126"/>
      <c r="Z3" s="127"/>
    </row>
    <row r="4" spans="2:26" ht="15.75" customHeight="1" x14ac:dyDescent="0.25">
      <c r="B4" s="128" t="s">
        <v>126</v>
      </c>
      <c r="C4" s="129"/>
      <c r="D4" s="130"/>
      <c r="E4" s="66" t="s">
        <v>127</v>
      </c>
      <c r="F4" s="67"/>
      <c r="G4" s="67"/>
      <c r="H4" s="67"/>
      <c r="I4" s="67"/>
      <c r="J4" s="67"/>
      <c r="K4" s="68"/>
      <c r="L4" s="131" t="s">
        <v>128</v>
      </c>
      <c r="M4" s="131"/>
      <c r="N4" s="131"/>
      <c r="O4" s="132" t="s">
        <v>129</v>
      </c>
      <c r="P4" s="133"/>
      <c r="Q4" s="134"/>
      <c r="R4" s="135" t="str">
        <f>[1]Tanım!$C$15</f>
        <v>24/01.</v>
      </c>
      <c r="S4" s="135"/>
      <c r="T4" s="135"/>
      <c r="U4" s="117" t="s">
        <v>130</v>
      </c>
      <c r="V4" s="117"/>
      <c r="W4" s="117"/>
      <c r="X4" s="136"/>
      <c r="Y4" s="137"/>
      <c r="Z4" s="138"/>
    </row>
    <row r="5" spans="2:26" ht="16.5" customHeight="1" thickBot="1" x14ac:dyDescent="0.3">
      <c r="B5" s="155" t="s">
        <v>131</v>
      </c>
      <c r="C5" s="156"/>
      <c r="D5" s="157"/>
      <c r="E5" s="50" t="str">
        <f>[1]Tanım!$C$6</f>
        <v>Yaralamalı Maddi Hasarlı Trafik kazası</v>
      </c>
      <c r="F5" s="51"/>
      <c r="G5" s="51"/>
      <c r="H5" s="51"/>
      <c r="I5" s="51"/>
      <c r="J5" s="51"/>
      <c r="K5" s="52"/>
      <c r="L5" s="158" t="s">
        <v>132</v>
      </c>
      <c r="M5" s="159"/>
      <c r="N5" s="159"/>
      <c r="O5" s="160" t="s">
        <v>133</v>
      </c>
      <c r="P5" s="160"/>
      <c r="Q5" s="160"/>
      <c r="R5" s="161">
        <f>[1]Tanım!$C$16</f>
        <v>45700</v>
      </c>
      <c r="S5" s="162"/>
      <c r="T5" s="163"/>
      <c r="U5" s="151" t="s">
        <v>134</v>
      </c>
      <c r="V5" s="151"/>
      <c r="W5" s="151"/>
      <c r="X5" s="152"/>
      <c r="Y5" s="153"/>
      <c r="Z5" s="154"/>
    </row>
    <row r="7" spans="2:26" ht="31.5" customHeight="1" x14ac:dyDescent="0.25">
      <c r="B7" s="165" t="s">
        <v>108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spans="2:26" ht="36" customHeight="1" x14ac:dyDescent="0.25">
      <c r="B8" s="164" t="s">
        <v>115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spans="2:26" x14ac:dyDescent="0.25">
      <c r="B9" s="111" t="s">
        <v>109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2:26" x14ac:dyDescent="0.25">
      <c r="B10" s="111" t="s">
        <v>110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2:26" x14ac:dyDescent="0.25">
      <c r="B11" s="111" t="s">
        <v>111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2:26" x14ac:dyDescent="0.25">
      <c r="B12" s="111" t="s">
        <v>112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2:26" x14ac:dyDescent="0.25">
      <c r="B13" s="111" t="s">
        <v>113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2:26" x14ac:dyDescent="0.25">
      <c r="B14" s="111" t="s">
        <v>114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2:26" x14ac:dyDescent="0.25">
      <c r="B15" s="111" t="s">
        <v>116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2:26" x14ac:dyDescent="0.25">
      <c r="B16" s="111" t="s">
        <v>117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2:26" x14ac:dyDescent="0.25">
      <c r="B17" s="111" t="s">
        <v>118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2:26" x14ac:dyDescent="0.25">
      <c r="B18" s="111" t="s">
        <v>119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2:26" x14ac:dyDescent="0.25"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</sheetData>
  <mergeCells count="41">
    <mergeCell ref="U5:W5"/>
    <mergeCell ref="X5:Z5"/>
    <mergeCell ref="B5:D5"/>
    <mergeCell ref="E5:K5"/>
    <mergeCell ref="L5:N5"/>
    <mergeCell ref="O5:Q5"/>
    <mergeCell ref="R5:T5"/>
    <mergeCell ref="X2:Z2"/>
    <mergeCell ref="O3:Q3"/>
    <mergeCell ref="R3:T3"/>
    <mergeCell ref="U3:W3"/>
    <mergeCell ref="X3:Z3"/>
    <mergeCell ref="U4:W4"/>
    <mergeCell ref="X4:Z4"/>
    <mergeCell ref="B1:E3"/>
    <mergeCell ref="F1:N1"/>
    <mergeCell ref="O1:Q1"/>
    <mergeCell ref="R1:T1"/>
    <mergeCell ref="U1:W1"/>
    <mergeCell ref="X1:Z1"/>
    <mergeCell ref="F2:N3"/>
    <mergeCell ref="O2:Q2"/>
    <mergeCell ref="U2:W2"/>
    <mergeCell ref="B4:D4"/>
    <mergeCell ref="E4:K4"/>
    <mergeCell ref="L4:N4"/>
    <mergeCell ref="O4:Q4"/>
    <mergeCell ref="R4:T4"/>
    <mergeCell ref="B8:Z8"/>
    <mergeCell ref="B17:Z17"/>
    <mergeCell ref="B18:Z18"/>
    <mergeCell ref="B19:Z19"/>
    <mergeCell ref="B7:Z7"/>
    <mergeCell ref="B9:Z9"/>
    <mergeCell ref="B10:Z10"/>
    <mergeCell ref="B11:Z11"/>
    <mergeCell ref="B12:Z12"/>
    <mergeCell ref="B13:Z13"/>
    <mergeCell ref="B14:Z14"/>
    <mergeCell ref="B15:Z15"/>
    <mergeCell ref="B16:Z16"/>
  </mergeCells>
  <hyperlinks>
    <hyperlink ref="F1:N1" location="model!A1" display="model!A1" xr:uid="{40760AE9-382C-4D0C-BF6D-F11474079DF1}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model</vt:lpstr>
      <vt:lpstr>Vaka_Girişi</vt:lpstr>
      <vt:lpstr>Hesap</vt:lpstr>
      <vt:lpstr>sınıflandırma</vt:lpstr>
      <vt:lpstr>Rapor_cıktı</vt:lpstr>
      <vt:lpstr>Kurumsal_Model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 Rasim seres</cp:lastModifiedBy>
  <dcterms:created xsi:type="dcterms:W3CDTF">2026-02-16T18:24:36Z</dcterms:created>
  <dcterms:modified xsi:type="dcterms:W3CDTF">2026-10-04T11:49:53Z</dcterms:modified>
</cp:coreProperties>
</file>